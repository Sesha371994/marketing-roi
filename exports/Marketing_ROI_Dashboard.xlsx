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<sst xmlns="http://schemas.openxmlformats.org/spreadsheetml/2006/main" count="877" uniqueCount="253">
  <si>
    <t xml:space="preserve">CAMPAIGN ID</t>
  </si>
  <si>
    <t xml:space="preserve">CHANNEL</t>
  </si>
  <si>
    <t xml:space="preserve">CAMPAIGN NAME</t>
  </si>
  <si>
    <t xml:space="preserve">SPEND</t>
  </si>
  <si>
    <t xml:space="preserve">CLICKS</t>
  </si>
  <si>
    <t xml:space="preserve">CONVERSIONS</t>
  </si>
  <si>
    <t xml:space="preserve">REVENUE</t>
  </si>
  <si>
    <t xml:space="preserve">CTR</t>
  </si>
  <si>
    <t xml:space="preserve">ROAS</t>
  </si>
  <si>
    <t xml:space="preserve">MONTH</t>
  </si>
  <si>
    <t xml:space="preserve">CMP0002</t>
  </si>
  <si>
    <t xml:space="preserve">Facebook Ads</t>
  </si>
  <si>
    <t xml:space="preserve">New Launch</t>
  </si>
  <si>
    <t xml:space="preserve">2024-05</t>
  </si>
  <si>
    <t xml:space="preserve">CMP0003</t>
  </si>
  <si>
    <t xml:space="preserve">Flash Sale</t>
  </si>
  <si>
    <t xml:space="preserve">2024-07</t>
  </si>
  <si>
    <t xml:space="preserve">CMP0006</t>
  </si>
  <si>
    <t xml:space="preserve">Email</t>
  </si>
  <si>
    <t xml:space="preserve">Summer Sale</t>
  </si>
  <si>
    <t xml:space="preserve">2024-01</t>
  </si>
  <si>
    <t xml:space="preserve">CMP0007</t>
  </si>
  <si>
    <t xml:space="preserve">Instagram</t>
  </si>
  <si>
    <t xml:space="preserve">Brand Awareness</t>
  </si>
  <si>
    <t xml:space="preserve">2024-08</t>
  </si>
  <si>
    <t xml:space="preserve">CMP0008</t>
  </si>
  <si>
    <t xml:space="preserve">2024-06</t>
  </si>
  <si>
    <t xml:space="preserve">CMP0009</t>
  </si>
  <si>
    <t xml:space="preserve">CMP0013</t>
  </si>
  <si>
    <t xml:space="preserve">CMP0014</t>
  </si>
  <si>
    <t xml:space="preserve">Google Ads</t>
  </si>
  <si>
    <t xml:space="preserve">2024-02</t>
  </si>
  <si>
    <t xml:space="preserve">CMP0015</t>
  </si>
  <si>
    <t xml:space="preserve">Diwali Offer</t>
  </si>
  <si>
    <t xml:space="preserve">CMP0019</t>
  </si>
  <si>
    <t xml:space="preserve">CMP0020</t>
  </si>
  <si>
    <t xml:space="preserve">CMP0023</t>
  </si>
  <si>
    <t xml:space="preserve">CMP0026</t>
  </si>
  <si>
    <t xml:space="preserve">Retargeting</t>
  </si>
  <si>
    <t xml:space="preserve">CMP0028</t>
  </si>
  <si>
    <t xml:space="preserve">2024-12</t>
  </si>
  <si>
    <t xml:space="preserve">CMP0029</t>
  </si>
  <si>
    <t xml:space="preserve">CMP0030</t>
  </si>
  <si>
    <t xml:space="preserve">CMP0032</t>
  </si>
  <si>
    <t xml:space="preserve">CMP0034</t>
  </si>
  <si>
    <t xml:space="preserve">CMP0035</t>
  </si>
  <si>
    <t xml:space="preserve">CMP0036</t>
  </si>
  <si>
    <t xml:space="preserve">LinkedIn Ads</t>
  </si>
  <si>
    <t xml:space="preserve">2024-03</t>
  </si>
  <si>
    <t xml:space="preserve">CMP0037</t>
  </si>
  <si>
    <t xml:space="preserve">CMP0038</t>
  </si>
  <si>
    <t xml:space="preserve">CMP0039</t>
  </si>
  <si>
    <t xml:space="preserve">CMP0040</t>
  </si>
  <si>
    <t xml:space="preserve">CMP0044</t>
  </si>
  <si>
    <t xml:space="preserve">CMP0045</t>
  </si>
  <si>
    <t xml:space="preserve">CMP0047</t>
  </si>
  <si>
    <t xml:space="preserve">CMP0048</t>
  </si>
  <si>
    <t xml:space="preserve">CMP0050</t>
  </si>
  <si>
    <t xml:space="preserve">CMP0051</t>
  </si>
  <si>
    <t xml:space="preserve">CMP0052</t>
  </si>
  <si>
    <t xml:space="preserve">CMP0053</t>
  </si>
  <si>
    <t xml:space="preserve">CMP0055</t>
  </si>
  <si>
    <t xml:space="preserve">2024-04</t>
  </si>
  <si>
    <t xml:space="preserve">CMP0057</t>
  </si>
  <si>
    <t xml:space="preserve">CMP0058</t>
  </si>
  <si>
    <t xml:space="preserve">CMP0059</t>
  </si>
  <si>
    <t xml:space="preserve">CMP0060</t>
  </si>
  <si>
    <t xml:space="preserve">CMP0064</t>
  </si>
  <si>
    <t xml:space="preserve">CMP0065</t>
  </si>
  <si>
    <t xml:space="preserve">CMP0066</t>
  </si>
  <si>
    <t xml:space="preserve">CMP0067</t>
  </si>
  <si>
    <t xml:space="preserve">CMP0068</t>
  </si>
  <si>
    <t xml:space="preserve">CMP0070</t>
  </si>
  <si>
    <t xml:space="preserve">CMP0075</t>
  </si>
  <si>
    <t xml:space="preserve">CMP0076</t>
  </si>
  <si>
    <t xml:space="preserve">CMP0077</t>
  </si>
  <si>
    <t xml:space="preserve">CMP0080</t>
  </si>
  <si>
    <t xml:space="preserve">CMP0084</t>
  </si>
  <si>
    <t xml:space="preserve">CMP0088</t>
  </si>
  <si>
    <t xml:space="preserve">2024-09</t>
  </si>
  <si>
    <t xml:space="preserve">CMP0089</t>
  </si>
  <si>
    <t xml:space="preserve">2024-11</t>
  </si>
  <si>
    <t xml:space="preserve">CMP0090</t>
  </si>
  <si>
    <t xml:space="preserve">CMP0092</t>
  </si>
  <si>
    <t xml:space="preserve">CMP0093</t>
  </si>
  <si>
    <t xml:space="preserve">CMP0094</t>
  </si>
  <si>
    <t xml:space="preserve">CMP0095</t>
  </si>
  <si>
    <t xml:space="preserve">CMP0096</t>
  </si>
  <si>
    <t xml:space="preserve">CMP0097</t>
  </si>
  <si>
    <t xml:space="preserve">CMP0098</t>
  </si>
  <si>
    <t xml:space="preserve">CMP0099</t>
  </si>
  <si>
    <t xml:space="preserve">CMP0101</t>
  </si>
  <si>
    <t xml:space="preserve">CMP0102</t>
  </si>
  <si>
    <t xml:space="preserve">CMP0104</t>
  </si>
  <si>
    <t xml:space="preserve">CMP0105</t>
  </si>
  <si>
    <t xml:space="preserve">CMP0108</t>
  </si>
  <si>
    <t xml:space="preserve">CMP0109</t>
  </si>
  <si>
    <t xml:space="preserve">CMP0110</t>
  </si>
  <si>
    <t xml:space="preserve">CMP0111</t>
  </si>
  <si>
    <t xml:space="preserve">CMP0112</t>
  </si>
  <si>
    <t xml:space="preserve">CMP0113</t>
  </si>
  <si>
    <t xml:space="preserve">CMP0114</t>
  </si>
  <si>
    <t xml:space="preserve">CMP0115</t>
  </si>
  <si>
    <t xml:space="preserve">CMP0116</t>
  </si>
  <si>
    <t xml:space="preserve">CMP0117</t>
  </si>
  <si>
    <t xml:space="preserve">CMP0120</t>
  </si>
  <si>
    <t xml:space="preserve">CMP0125</t>
  </si>
  <si>
    <t xml:space="preserve">CMP0126</t>
  </si>
  <si>
    <t xml:space="preserve">CMP0127</t>
  </si>
  <si>
    <t xml:space="preserve">CMP0128</t>
  </si>
  <si>
    <t xml:space="preserve">CMP0130</t>
  </si>
  <si>
    <t xml:space="preserve">CMP0132</t>
  </si>
  <si>
    <t xml:space="preserve">CMP0133</t>
  </si>
  <si>
    <t xml:space="preserve">CMP0134</t>
  </si>
  <si>
    <t xml:space="preserve">CMP0135</t>
  </si>
  <si>
    <t xml:space="preserve">CMP0136</t>
  </si>
  <si>
    <t xml:space="preserve">CMP0137</t>
  </si>
  <si>
    <t xml:space="preserve">CMP0138</t>
  </si>
  <si>
    <t xml:space="preserve">CMP0139</t>
  </si>
  <si>
    <t xml:space="preserve">CMP0140</t>
  </si>
  <si>
    <t xml:space="preserve">CMP0141</t>
  </si>
  <si>
    <t xml:space="preserve">CMP0142</t>
  </si>
  <si>
    <t xml:space="preserve">CMP0145</t>
  </si>
  <si>
    <t xml:space="preserve">CMP0146</t>
  </si>
  <si>
    <t xml:space="preserve">CMP0147</t>
  </si>
  <si>
    <t xml:space="preserve">CMP0148</t>
  </si>
  <si>
    <t xml:space="preserve">CMP0150</t>
  </si>
  <si>
    <t xml:space="preserve">CMP0152</t>
  </si>
  <si>
    <t xml:space="preserve">CMP0156</t>
  </si>
  <si>
    <t xml:space="preserve">CMP0157</t>
  </si>
  <si>
    <t xml:space="preserve">CMP0158</t>
  </si>
  <si>
    <t xml:space="preserve">CMP0160</t>
  </si>
  <si>
    <t xml:space="preserve">CMP0163</t>
  </si>
  <si>
    <t xml:space="preserve">CMP0164</t>
  </si>
  <si>
    <t xml:space="preserve">CMP0166</t>
  </si>
  <si>
    <t xml:space="preserve">CMP0167</t>
  </si>
  <si>
    <t xml:space="preserve">CMP0169</t>
  </si>
  <si>
    <t xml:space="preserve">CMP0170</t>
  </si>
  <si>
    <t xml:space="preserve">CMP0173</t>
  </si>
  <si>
    <t xml:space="preserve">CMP0174</t>
  </si>
  <si>
    <t xml:space="preserve">CMP0175</t>
  </si>
  <si>
    <t xml:space="preserve">CMP0176</t>
  </si>
  <si>
    <t xml:space="preserve">CMP0177</t>
  </si>
  <si>
    <t xml:space="preserve">CMP0178</t>
  </si>
  <si>
    <t xml:space="preserve">CMP0179</t>
  </si>
  <si>
    <t xml:space="preserve">CMP0180</t>
  </si>
  <si>
    <t xml:space="preserve">CMP0181</t>
  </si>
  <si>
    <t xml:space="preserve">CMP0183</t>
  </si>
  <si>
    <t xml:space="preserve">CMP0184</t>
  </si>
  <si>
    <t xml:space="preserve">CMP0186</t>
  </si>
  <si>
    <t xml:space="preserve">CMP0187</t>
  </si>
  <si>
    <t xml:space="preserve">CMP0188</t>
  </si>
  <si>
    <t xml:space="preserve">CMP0189</t>
  </si>
  <si>
    <t xml:space="preserve">CMP0190</t>
  </si>
  <si>
    <t xml:space="preserve">CMP0194</t>
  </si>
  <si>
    <t xml:space="preserve">CMP0195</t>
  </si>
  <si>
    <t xml:space="preserve">CMP0196</t>
  </si>
  <si>
    <t xml:space="preserve">CMP0197</t>
  </si>
  <si>
    <t xml:space="preserve">CMP0198</t>
  </si>
  <si>
    <t xml:space="preserve">CMP0201</t>
  </si>
  <si>
    <t xml:space="preserve">CMP0202</t>
  </si>
  <si>
    <t xml:space="preserve">CMP0203</t>
  </si>
  <si>
    <t xml:space="preserve">CMP0204</t>
  </si>
  <si>
    <t xml:space="preserve">CMP0205</t>
  </si>
  <si>
    <t xml:space="preserve">CMP0207</t>
  </si>
  <si>
    <t xml:space="preserve">CMP0208</t>
  </si>
  <si>
    <t xml:space="preserve">CMP0210</t>
  </si>
  <si>
    <t xml:space="preserve">CMP0212</t>
  </si>
  <si>
    <t xml:space="preserve">CMP0213</t>
  </si>
  <si>
    <t xml:space="preserve">CMP0216</t>
  </si>
  <si>
    <t xml:space="preserve">CMP0220</t>
  </si>
  <si>
    <t xml:space="preserve">CMP0221</t>
  </si>
  <si>
    <t xml:space="preserve">2024-10</t>
  </si>
  <si>
    <t xml:space="preserve">CMP0222</t>
  </si>
  <si>
    <t xml:space="preserve">CMP0224</t>
  </si>
  <si>
    <t xml:space="preserve">CMP0226</t>
  </si>
  <si>
    <t xml:space="preserve">CMP0227</t>
  </si>
  <si>
    <t xml:space="preserve">CMP0228</t>
  </si>
  <si>
    <t xml:space="preserve">CMP0229</t>
  </si>
  <si>
    <t xml:space="preserve">CMP0230</t>
  </si>
  <si>
    <t xml:space="preserve">CMP0231</t>
  </si>
  <si>
    <t xml:space="preserve">CMP0232</t>
  </si>
  <si>
    <t xml:space="preserve">CMP0233</t>
  </si>
  <si>
    <t xml:space="preserve">CMP0234</t>
  </si>
  <si>
    <t xml:space="preserve">CMP0235</t>
  </si>
  <si>
    <t xml:space="preserve">CMP0237</t>
  </si>
  <si>
    <t xml:space="preserve">CMP0238</t>
  </si>
  <si>
    <t xml:space="preserve">CMP0239</t>
  </si>
  <si>
    <t xml:space="preserve">CMP0240</t>
  </si>
  <si>
    <t xml:space="preserve">CMP0242</t>
  </si>
  <si>
    <t xml:space="preserve">CMP0244</t>
  </si>
  <si>
    <t xml:space="preserve">CMP0245</t>
  </si>
  <si>
    <t xml:space="preserve">CMP0247</t>
  </si>
  <si>
    <t xml:space="preserve">CMP0248</t>
  </si>
  <si>
    <t xml:space="preserve">CMP0249</t>
  </si>
  <si>
    <t xml:space="preserve">CMP0250</t>
  </si>
  <si>
    <t xml:space="preserve">CMP0253</t>
  </si>
  <si>
    <t xml:space="preserve">CMP0254</t>
  </si>
  <si>
    <t xml:space="preserve">CMP0255</t>
  </si>
  <si>
    <t xml:space="preserve">CMP0256</t>
  </si>
  <si>
    <t xml:space="preserve">CMP0257</t>
  </si>
  <si>
    <t xml:space="preserve">CMP0258</t>
  </si>
  <si>
    <t xml:space="preserve">CMP0260</t>
  </si>
  <si>
    <t xml:space="preserve">CMP0261</t>
  </si>
  <si>
    <t xml:space="preserve">CMP0262</t>
  </si>
  <si>
    <t xml:space="preserve">CMP0265</t>
  </si>
  <si>
    <t xml:space="preserve">CMP0266</t>
  </si>
  <si>
    <t xml:space="preserve">CMP0268</t>
  </si>
  <si>
    <t xml:space="preserve">CMP0269</t>
  </si>
  <si>
    <t xml:space="preserve">CMP0270</t>
  </si>
  <si>
    <t xml:space="preserve">CMP0271</t>
  </si>
  <si>
    <t xml:space="preserve">CMP0272</t>
  </si>
  <si>
    <t xml:space="preserve">CMP0273</t>
  </si>
  <si>
    <t xml:space="preserve">CMP0275</t>
  </si>
  <si>
    <t xml:space="preserve">CMP0276</t>
  </si>
  <si>
    <t xml:space="preserve">CMP0279</t>
  </si>
  <si>
    <t xml:space="preserve">CMP0281</t>
  </si>
  <si>
    <t xml:space="preserve">CMP0282</t>
  </si>
  <si>
    <t xml:space="preserve">CMP0284</t>
  </si>
  <si>
    <t xml:space="preserve">CMP0286</t>
  </si>
  <si>
    <t xml:space="preserve">CMP0287</t>
  </si>
  <si>
    <t xml:space="preserve">CMP0288</t>
  </si>
  <si>
    <t xml:space="preserve">CMP0289</t>
  </si>
  <si>
    <t xml:space="preserve">CMP0290</t>
  </si>
  <si>
    <t xml:space="preserve">CMP0292</t>
  </si>
  <si>
    <t xml:space="preserve">CMP0293</t>
  </si>
  <si>
    <t xml:space="preserve">CMP0296</t>
  </si>
  <si>
    <t xml:space="preserve">CMP0298</t>
  </si>
  <si>
    <t xml:space="preserve">CMP0301</t>
  </si>
  <si>
    <t xml:space="preserve">CMP0302</t>
  </si>
  <si>
    <t xml:space="preserve">CMP0303</t>
  </si>
  <si>
    <t xml:space="preserve">CMP0307</t>
  </si>
  <si>
    <t xml:space="preserve">CMP0308</t>
  </si>
  <si>
    <t xml:space="preserve">CMP0311</t>
  </si>
  <si>
    <t xml:space="preserve">CMP0312</t>
  </si>
  <si>
    <t xml:space="preserve">CMP0314</t>
  </si>
  <si>
    <t xml:space="preserve">CMP0315</t>
  </si>
  <si>
    <t xml:space="preserve">CMP0316</t>
  </si>
  <si>
    <t xml:space="preserve">CMP0317</t>
  </si>
  <si>
    <t xml:space="preserve">CMP0318</t>
  </si>
  <si>
    <t xml:space="preserve">CMP0319</t>
  </si>
  <si>
    <t xml:space="preserve">CMP0320</t>
  </si>
  <si>
    <t xml:space="preserve">Marketing Campaign ROI Dashboard</t>
  </si>
  <si>
    <t xml:space="preserve">Total Spend</t>
  </si>
  <si>
    <t xml:space="preserve">Total Revenue</t>
  </si>
  <si>
    <t xml:space="preserve">Overall ROAS</t>
  </si>
  <si>
    <t xml:space="preserve">Avg CTR</t>
  </si>
  <si>
    <t xml:space="preserve">ROAS by Channel</t>
  </si>
  <si>
    <t xml:space="preserve">Monthly Spend vs Revenue</t>
  </si>
  <si>
    <t xml:space="preserve">Channel</t>
  </si>
  <si>
    <t xml:space="preserve">Spend</t>
  </si>
  <si>
    <t xml:space="preserve">Revenue</t>
  </si>
  <si>
    <t xml:space="preserve">Month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</si>
</sst>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.00"/>
    <numFmt numFmtId="166" formatCode="\₹#,##0"/>
    <numFmt numFmtId="167" formatCode="0.00\x"/>
    <numFmt numFmtId="168" formatCode="0.0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7B2D8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7B2D8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B2D8E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B2D8E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Dashboard!$B$12:$B$16</c:f>
              <c:strCache>
                <c:ptCount val="5"/>
                <c:pt idx="0">
                  <c:v>Email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 Ads</c:v>
                </c:pt>
              </c:strCache>
            </c:strRef>
          </c:cat>
          <c:val>
            <c:numRef>
              <c:f>Dashboard!$E$12:$E$16</c:f>
              <c:numCache>
                <c:formatCode>0.00\x</c:formatCode>
                <c:ptCount val="5"/>
                <c:pt idx="0">
                  <c:v>2.32601699748102</c:v>
                </c:pt>
                <c:pt idx="1">
                  <c:v>2.44315660888065</c:v>
                </c:pt>
                <c:pt idx="2">
                  <c:v>2.45790896358234</c:v>
                </c:pt>
                <c:pt idx="3">
                  <c:v>1.71468269777232</c:v>
                </c:pt>
                <c:pt idx="4">
                  <c:v>1.37997156185025</c:v>
                </c:pt>
              </c:numCache>
            </c:numRef>
          </c:val>
        </c:ser>
        <c:gapWidth val="150"/>
        <c:overlap val="0"/>
        <c:axId val="72121651"/>
        <c:axId val="36590823"/>
      </c:barChart>
      <c:catAx>
        <c:axId val="72121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90823"/>
        <c:crosses val="autoZero"/>
        <c:auto val="1"/>
        <c:lblAlgn val="ctr"/>
        <c:lblOffset val="100"/>
        <c:noMultiLvlLbl val="0"/>
      </c:catAx>
      <c:valAx>
        <c:axId val="36590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21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 vs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Dashboard!H11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Dashboard!$G$12:$G$23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Dashboard!$H$12:$H$23</c:f>
              <c:numCache>
                <c:formatCode>\₹#,##0</c:formatCode>
                <c:ptCount val="12"/>
                <c:pt idx="0">
                  <c:v>256866.67</c:v>
                </c:pt>
                <c:pt idx="1">
                  <c:v>171019.39</c:v>
                </c:pt>
                <c:pt idx="2">
                  <c:v>145543.19</c:v>
                </c:pt>
                <c:pt idx="3">
                  <c:v>134435.16</c:v>
                </c:pt>
                <c:pt idx="4">
                  <c:v>200653.59</c:v>
                </c:pt>
                <c:pt idx="5">
                  <c:v>203588.09</c:v>
                </c:pt>
                <c:pt idx="6">
                  <c:v>254316.38</c:v>
                </c:pt>
                <c:pt idx="7">
                  <c:v>217678.85</c:v>
                </c:pt>
                <c:pt idx="8">
                  <c:v>40798.71</c:v>
                </c:pt>
                <c:pt idx="9">
                  <c:v>9150.78</c:v>
                </c:pt>
                <c:pt idx="10">
                  <c:v>32650.53</c:v>
                </c:pt>
                <c:pt idx="11">
                  <c:v>10188.62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Dashboard!I11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Dashboard!$G$12:$G$23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Dashboard!$I$12:$I$23</c:f>
              <c:numCache>
                <c:formatCode>\₹#,##0</c:formatCode>
                <c:ptCount val="12"/>
                <c:pt idx="0">
                  <c:v>465595.95</c:v>
                </c:pt>
                <c:pt idx="1">
                  <c:v>470105.93</c:v>
                </c:pt>
                <c:pt idx="2">
                  <c:v>293772.28</c:v>
                </c:pt>
                <c:pt idx="3">
                  <c:v>308222.17</c:v>
                </c:pt>
                <c:pt idx="4">
                  <c:v>365640.5</c:v>
                </c:pt>
                <c:pt idx="5">
                  <c:v>502077.29</c:v>
                </c:pt>
                <c:pt idx="6">
                  <c:v>493769.7</c:v>
                </c:pt>
                <c:pt idx="7">
                  <c:v>520103.89</c:v>
                </c:pt>
                <c:pt idx="8">
                  <c:v>91439.67</c:v>
                </c:pt>
                <c:pt idx="9">
                  <c:v>573.9</c:v>
                </c:pt>
                <c:pt idx="10">
                  <c:v>67347.63</c:v>
                </c:pt>
                <c:pt idx="11">
                  <c:v>1485.91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26646"/>
        <c:axId val="78032653"/>
      </c:lineChart>
      <c:catAx>
        <c:axId val="9126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32653"/>
        <c:crosses val="autoZero"/>
        <c:auto val="1"/>
        <c:lblAlgn val="ctr"/>
        <c:lblOffset val="100"/>
        <c:noMultiLvlLbl val="0"/>
      </c:catAx>
      <c:valAx>
        <c:axId val="78032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6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101160</xdr:rowOff>
    </xdr:from>
    <xdr:to>
      <xdr:col>6</xdr:col>
      <xdr:colOff>246960</xdr:colOff>
      <xdr:row>31</xdr:row>
      <xdr:rowOff>123120</xdr:rowOff>
    </xdr:to>
    <xdr:graphicFrame>
      <xdr:nvGraphicFramePr>
        <xdr:cNvPr id="0" name="Chart 1"/>
        <xdr:cNvGraphicFramePr/>
      </xdr:nvGraphicFramePr>
      <xdr:xfrm>
        <a:off x="611640" y="3238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101160</xdr:rowOff>
    </xdr:from>
    <xdr:to>
      <xdr:col>12</xdr:col>
      <xdr:colOff>385560</xdr:colOff>
      <xdr:row>31</xdr:row>
      <xdr:rowOff>123120</xdr:rowOff>
    </xdr:to>
    <xdr:graphicFrame>
      <xdr:nvGraphicFramePr>
        <xdr:cNvPr id="1" name="Chart 2"/>
        <xdr:cNvGraphicFramePr/>
      </xdr:nvGraphicFramePr>
      <xdr:xfrm>
        <a:off x="5404320" y="3238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10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12009.39</v>
      </c>
      <c r="E2" s="2" t="n">
        <v>963</v>
      </c>
      <c r="F2" s="2" t="n">
        <v>104</v>
      </c>
      <c r="G2" s="3" t="n">
        <v>1362.8</v>
      </c>
      <c r="H2" s="2"/>
      <c r="I2" s="2" t="n">
        <v>0.11</v>
      </c>
      <c r="J2" s="2" t="s">
        <v>13</v>
      </c>
    </row>
    <row r="3" customFormat="false" ht="15" hidden="false" customHeight="false" outlineLevel="0" collapsed="false">
      <c r="A3" s="2" t="s">
        <v>14</v>
      </c>
      <c r="B3" s="2" t="s">
        <v>11</v>
      </c>
      <c r="C3" s="2" t="s">
        <v>15</v>
      </c>
      <c r="D3" s="3" t="n">
        <v>14303.48</v>
      </c>
      <c r="E3" s="2" t="n">
        <v>644</v>
      </c>
      <c r="F3" s="2" t="n">
        <v>5</v>
      </c>
      <c r="G3" s="3" t="n">
        <v>22080.11</v>
      </c>
      <c r="H3" s="2" t="n">
        <v>2.66</v>
      </c>
      <c r="I3" s="2" t="n">
        <v>1.54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3" t="n">
        <v>7627.32</v>
      </c>
      <c r="E4" s="2" t="n">
        <v>2148</v>
      </c>
      <c r="F4" s="2" t="n">
        <v>28</v>
      </c>
      <c r="G4" s="3" t="n">
        <v>6803.67</v>
      </c>
      <c r="H4" s="2" t="n">
        <v>1.34</v>
      </c>
      <c r="I4" s="2" t="n">
        <v>0.89</v>
      </c>
      <c r="J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3" t="n">
        <v>13980.7</v>
      </c>
      <c r="E5" s="2" t="n">
        <v>700</v>
      </c>
      <c r="F5" s="2" t="n">
        <v>95</v>
      </c>
      <c r="G5" s="3" t="n">
        <v>1467.89</v>
      </c>
      <c r="H5" s="2" t="n">
        <v>1.5</v>
      </c>
      <c r="I5" s="2" t="n">
        <v>0.1</v>
      </c>
      <c r="J5" s="2" t="s">
        <v>24</v>
      </c>
    </row>
    <row r="6" customFormat="false" ht="15" hidden="false" customHeight="false" outlineLevel="0" collapsed="false">
      <c r="A6" s="2" t="s">
        <v>25</v>
      </c>
      <c r="B6" s="2" t="s">
        <v>18</v>
      </c>
      <c r="C6" s="2" t="s">
        <v>12</v>
      </c>
      <c r="D6" s="3" t="n">
        <v>14440.73</v>
      </c>
      <c r="E6" s="2" t="n">
        <v>1429</v>
      </c>
      <c r="F6" s="2" t="n">
        <v>62</v>
      </c>
      <c r="G6" s="3" t="n">
        <v>2773.41</v>
      </c>
      <c r="H6" s="2" t="n">
        <v>1.44</v>
      </c>
      <c r="I6" s="2" t="n">
        <v>0.19</v>
      </c>
      <c r="J6" s="2" t="s">
        <v>26</v>
      </c>
    </row>
    <row r="7" customFormat="false" ht="15" hidden="false" customHeight="false" outlineLevel="0" collapsed="false">
      <c r="A7" s="2" t="s">
        <v>27</v>
      </c>
      <c r="B7" s="2" t="s">
        <v>18</v>
      </c>
      <c r="C7" s="2" t="s">
        <v>19</v>
      </c>
      <c r="D7" s="3" t="n">
        <v>12636.48</v>
      </c>
      <c r="E7" s="2" t="n">
        <v>1066</v>
      </c>
      <c r="F7" s="2" t="n">
        <v>43</v>
      </c>
      <c r="G7" s="3" t="n">
        <v>34815.43</v>
      </c>
      <c r="H7" s="2" t="n">
        <v>10.54</v>
      </c>
      <c r="I7" s="2" t="n">
        <v>2.76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18</v>
      </c>
      <c r="C8" s="2" t="s">
        <v>12</v>
      </c>
      <c r="D8" s="3" t="n">
        <v>1542.4</v>
      </c>
      <c r="E8" s="2" t="n">
        <v>1162</v>
      </c>
      <c r="F8" s="2" t="n">
        <v>101</v>
      </c>
      <c r="G8" s="3" t="n">
        <v>8784.32</v>
      </c>
      <c r="H8" s="2"/>
      <c r="I8" s="2" t="n">
        <v>5.7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30</v>
      </c>
      <c r="C9" s="2" t="s">
        <v>15</v>
      </c>
      <c r="D9" s="3" t="n">
        <v>11290.88</v>
      </c>
      <c r="E9" s="2" t="n">
        <v>2483</v>
      </c>
      <c r="F9" s="2" t="n">
        <v>2</v>
      </c>
      <c r="G9" s="3" t="n">
        <v>34578.52</v>
      </c>
      <c r="H9" s="2" t="n">
        <v>1.26</v>
      </c>
      <c r="I9" s="2" t="n">
        <v>3.06</v>
      </c>
      <c r="J9" s="2" t="s">
        <v>31</v>
      </c>
    </row>
    <row r="10" customFormat="false" ht="15" hidden="false" customHeight="false" outlineLevel="0" collapsed="false">
      <c r="A10" s="2" t="s">
        <v>32</v>
      </c>
      <c r="B10" s="2" t="s">
        <v>30</v>
      </c>
      <c r="C10" s="2" t="s">
        <v>33</v>
      </c>
      <c r="D10" s="3" t="n">
        <v>14478.03</v>
      </c>
      <c r="E10" s="2" t="n">
        <v>181</v>
      </c>
      <c r="F10" s="2" t="n">
        <v>75</v>
      </c>
      <c r="G10" s="3" t="n">
        <v>32122.94</v>
      </c>
      <c r="H10" s="2" t="n">
        <v>0.43</v>
      </c>
      <c r="I10" s="2" t="n">
        <v>2.22</v>
      </c>
      <c r="J10" s="2" t="s">
        <v>13</v>
      </c>
    </row>
    <row r="11" customFormat="false" ht="15" hidden="false" customHeight="false" outlineLevel="0" collapsed="false">
      <c r="A11" s="2" t="s">
        <v>34</v>
      </c>
      <c r="B11" s="2" t="s">
        <v>18</v>
      </c>
      <c r="C11" s="2" t="s">
        <v>12</v>
      </c>
      <c r="D11" s="3" t="n">
        <v>6284.62</v>
      </c>
      <c r="E11" s="2" t="n">
        <v>943</v>
      </c>
      <c r="F11" s="2" t="n">
        <v>122</v>
      </c>
      <c r="G11" s="3" t="n">
        <v>14921.11</v>
      </c>
      <c r="H11" s="2" t="n">
        <v>0.55</v>
      </c>
      <c r="I11" s="2" t="n">
        <v>2.37</v>
      </c>
      <c r="J11" s="2" t="s">
        <v>16</v>
      </c>
    </row>
    <row r="12" customFormat="false" ht="15" hidden="false" customHeight="false" outlineLevel="0" collapsed="false">
      <c r="A12" s="2" t="s">
        <v>35</v>
      </c>
      <c r="B12" s="2" t="s">
        <v>22</v>
      </c>
      <c r="C12" s="2" t="s">
        <v>12</v>
      </c>
      <c r="D12" s="3" t="n">
        <v>7477.4</v>
      </c>
      <c r="E12" s="2" t="n">
        <v>1263</v>
      </c>
      <c r="F12" s="2" t="n">
        <v>1</v>
      </c>
      <c r="G12" s="3" t="n">
        <v>8081.45</v>
      </c>
      <c r="H12" s="2"/>
      <c r="I12" s="2" t="n">
        <v>1.08</v>
      </c>
      <c r="J12" s="2" t="s">
        <v>31</v>
      </c>
    </row>
    <row r="13" customFormat="false" ht="15" hidden="false" customHeight="false" outlineLevel="0" collapsed="false">
      <c r="A13" s="2" t="s">
        <v>36</v>
      </c>
      <c r="B13" s="2" t="s">
        <v>18</v>
      </c>
      <c r="C13" s="2" t="s">
        <v>12</v>
      </c>
      <c r="D13" s="3" t="n">
        <v>14140.61</v>
      </c>
      <c r="E13" s="2" t="n">
        <v>1799</v>
      </c>
      <c r="F13" s="2" t="n">
        <v>44</v>
      </c>
      <c r="G13" s="3" t="n">
        <v>24868.44</v>
      </c>
      <c r="H13" s="2" t="n">
        <v>1.02</v>
      </c>
      <c r="I13" s="2" t="n">
        <v>1.76</v>
      </c>
      <c r="J13" s="2" t="s">
        <v>26</v>
      </c>
    </row>
    <row r="14" customFormat="false" ht="15" hidden="false" customHeight="false" outlineLevel="0" collapsed="false">
      <c r="A14" s="2" t="s">
        <v>37</v>
      </c>
      <c r="B14" s="2" t="s">
        <v>30</v>
      </c>
      <c r="C14" s="2" t="s">
        <v>38</v>
      </c>
      <c r="D14" s="3" t="n">
        <v>6343.08</v>
      </c>
      <c r="E14" s="2" t="n">
        <v>932</v>
      </c>
      <c r="F14" s="2" t="n">
        <v>4</v>
      </c>
      <c r="G14" s="3" t="n">
        <v>2920.48</v>
      </c>
      <c r="H14" s="2"/>
      <c r="I14" s="2" t="n">
        <v>0.46</v>
      </c>
      <c r="J14" s="2" t="s">
        <v>20</v>
      </c>
    </row>
    <row r="15" customFormat="false" ht="15" hidden="false" customHeight="false" outlineLevel="0" collapsed="false">
      <c r="A15" s="2" t="s">
        <v>39</v>
      </c>
      <c r="B15" s="2" t="s">
        <v>11</v>
      </c>
      <c r="C15" s="2" t="s">
        <v>19</v>
      </c>
      <c r="D15" s="3" t="n">
        <v>10188.62</v>
      </c>
      <c r="E15" s="2" t="n">
        <v>412</v>
      </c>
      <c r="F15" s="2" t="n">
        <v>90</v>
      </c>
      <c r="G15" s="3" t="n">
        <v>1485.91</v>
      </c>
      <c r="H15" s="2" t="n">
        <v>0.81</v>
      </c>
      <c r="I15" s="2" t="n">
        <v>0.15</v>
      </c>
      <c r="J15" s="2" t="s">
        <v>40</v>
      </c>
    </row>
    <row r="16" customFormat="false" ht="15" hidden="false" customHeight="false" outlineLevel="0" collapsed="false">
      <c r="A16" s="2" t="s">
        <v>41</v>
      </c>
      <c r="B16" s="2" t="s">
        <v>18</v>
      </c>
      <c r="C16" s="2" t="s">
        <v>12</v>
      </c>
      <c r="D16" s="3" t="n">
        <v>970.37</v>
      </c>
      <c r="E16" s="2" t="n">
        <v>1478</v>
      </c>
      <c r="F16" s="2" t="n">
        <v>49</v>
      </c>
      <c r="G16" s="3" t="n">
        <v>20983.2</v>
      </c>
      <c r="H16" s="2" t="n">
        <v>1.37</v>
      </c>
      <c r="I16" s="2" t="n">
        <v>21.62</v>
      </c>
      <c r="J16" s="2" t="s">
        <v>26</v>
      </c>
    </row>
    <row r="17" customFormat="false" ht="15" hidden="false" customHeight="false" outlineLevel="0" collapsed="false">
      <c r="A17" s="2" t="s">
        <v>42</v>
      </c>
      <c r="B17" s="2" t="s">
        <v>30</v>
      </c>
      <c r="C17" s="2" t="s">
        <v>23</v>
      </c>
      <c r="D17" s="3" t="n">
        <v>1086.93</v>
      </c>
      <c r="E17" s="2" t="n">
        <v>2191</v>
      </c>
      <c r="F17" s="2" t="n">
        <v>94</v>
      </c>
      <c r="G17" s="3" t="n">
        <v>6480.42</v>
      </c>
      <c r="H17" s="2" t="n">
        <v>1.29</v>
      </c>
      <c r="I17" s="2" t="n">
        <v>5.96</v>
      </c>
      <c r="J17" s="2" t="s">
        <v>16</v>
      </c>
    </row>
    <row r="18" customFormat="false" ht="15" hidden="false" customHeight="false" outlineLevel="0" collapsed="false">
      <c r="A18" s="2" t="s">
        <v>43</v>
      </c>
      <c r="B18" s="2" t="s">
        <v>22</v>
      </c>
      <c r="C18" s="2" t="s">
        <v>19</v>
      </c>
      <c r="D18" s="3" t="n">
        <v>13741.49</v>
      </c>
      <c r="E18" s="2" t="n">
        <v>1096</v>
      </c>
      <c r="F18" s="2" t="n">
        <v>41</v>
      </c>
      <c r="G18" s="3" t="n">
        <v>38979.68</v>
      </c>
      <c r="H18" s="2" t="n">
        <v>0.55</v>
      </c>
      <c r="I18" s="2" t="n">
        <v>2.84</v>
      </c>
      <c r="J18" s="2" t="s">
        <v>24</v>
      </c>
    </row>
    <row r="19" customFormat="false" ht="15" hidden="false" customHeight="false" outlineLevel="0" collapsed="false">
      <c r="A19" s="2" t="s">
        <v>44</v>
      </c>
      <c r="B19" s="2" t="s">
        <v>11</v>
      </c>
      <c r="C19" s="2" t="s">
        <v>38</v>
      </c>
      <c r="D19" s="3" t="n">
        <v>14341.98</v>
      </c>
      <c r="E19" s="2" t="n">
        <v>2735</v>
      </c>
      <c r="F19" s="2" t="n">
        <v>136</v>
      </c>
      <c r="G19" s="3" t="n">
        <v>35803</v>
      </c>
      <c r="H19" s="2" t="n">
        <v>1.4</v>
      </c>
      <c r="I19" s="2" t="n">
        <v>2.5</v>
      </c>
      <c r="J19" s="2" t="s">
        <v>13</v>
      </c>
    </row>
    <row r="20" customFormat="false" ht="15" hidden="false" customHeight="false" outlineLevel="0" collapsed="false">
      <c r="A20" s="2" t="s">
        <v>45</v>
      </c>
      <c r="B20" s="2" t="s">
        <v>30</v>
      </c>
      <c r="C20" s="2" t="s">
        <v>15</v>
      </c>
      <c r="D20" s="3" t="n">
        <v>6651.76</v>
      </c>
      <c r="E20" s="2" t="n">
        <v>2036</v>
      </c>
      <c r="F20" s="2" t="n">
        <v>47</v>
      </c>
      <c r="G20" s="3" t="n">
        <v>15121.6</v>
      </c>
      <c r="H20" s="2" t="n">
        <v>1.19</v>
      </c>
      <c r="I20" s="2" t="n">
        <v>2.27</v>
      </c>
      <c r="J20" s="2" t="s">
        <v>31</v>
      </c>
    </row>
    <row r="21" customFormat="false" ht="15" hidden="false" customHeight="false" outlineLevel="0" collapsed="false">
      <c r="A21" s="2" t="s">
        <v>46</v>
      </c>
      <c r="B21" s="2" t="s">
        <v>47</v>
      </c>
      <c r="C21" s="2" t="s">
        <v>38</v>
      </c>
      <c r="D21" s="3" t="n">
        <v>3484.27</v>
      </c>
      <c r="E21" s="2" t="n">
        <v>1386</v>
      </c>
      <c r="F21" s="2" t="n">
        <v>0</v>
      </c>
      <c r="G21" s="3" t="n">
        <v>15074.92</v>
      </c>
      <c r="H21" s="2" t="n">
        <v>1.73</v>
      </c>
      <c r="I21" s="2" t="n">
        <v>4.33</v>
      </c>
      <c r="J21" s="2" t="s">
        <v>48</v>
      </c>
    </row>
    <row r="22" customFormat="false" ht="15" hidden="false" customHeight="false" outlineLevel="0" collapsed="false">
      <c r="A22" s="2" t="s">
        <v>49</v>
      </c>
      <c r="B22" s="2" t="s">
        <v>22</v>
      </c>
      <c r="C22" s="2" t="s">
        <v>23</v>
      </c>
      <c r="D22" s="3" t="n">
        <v>12570.11</v>
      </c>
      <c r="E22" s="2" t="n">
        <v>2000</v>
      </c>
      <c r="F22" s="2" t="n">
        <v>123</v>
      </c>
      <c r="G22" s="3" t="n">
        <v>0</v>
      </c>
      <c r="H22" s="2" t="n">
        <v>1.03</v>
      </c>
      <c r="I22" s="2" t="n">
        <v>0</v>
      </c>
      <c r="J22" s="2" t="s">
        <v>20</v>
      </c>
    </row>
    <row r="23" customFormat="false" ht="15" hidden="false" customHeight="false" outlineLevel="0" collapsed="false">
      <c r="A23" s="2" t="s">
        <v>50</v>
      </c>
      <c r="B23" s="2" t="s">
        <v>22</v>
      </c>
      <c r="C23" s="2" t="s">
        <v>38</v>
      </c>
      <c r="D23" s="3" t="n">
        <v>5637.5</v>
      </c>
      <c r="E23" s="2" t="n">
        <v>1844</v>
      </c>
      <c r="F23" s="2" t="n">
        <v>65</v>
      </c>
      <c r="G23" s="3" t="n">
        <v>14996.61</v>
      </c>
      <c r="H23" s="2" t="n">
        <v>1.01</v>
      </c>
      <c r="I23" s="2" t="n">
        <v>2.66</v>
      </c>
      <c r="J23" s="2" t="s">
        <v>31</v>
      </c>
    </row>
    <row r="24" customFormat="false" ht="15" hidden="false" customHeight="false" outlineLevel="0" collapsed="false">
      <c r="A24" s="2" t="s">
        <v>51</v>
      </c>
      <c r="B24" s="2" t="s">
        <v>11</v>
      </c>
      <c r="C24" s="2" t="s">
        <v>12</v>
      </c>
      <c r="D24" s="3" t="n">
        <v>9133.12</v>
      </c>
      <c r="E24" s="2" t="n">
        <v>326</v>
      </c>
      <c r="F24" s="2" t="n">
        <v>37</v>
      </c>
      <c r="G24" s="3" t="n">
        <v>37407.61</v>
      </c>
      <c r="H24" s="2" t="n">
        <v>0.49</v>
      </c>
      <c r="I24" s="2" t="n">
        <v>4.1</v>
      </c>
      <c r="J24" s="2" t="s">
        <v>16</v>
      </c>
    </row>
    <row r="25" customFormat="false" ht="15" hidden="false" customHeight="false" outlineLevel="0" collapsed="false">
      <c r="A25" s="2" t="s">
        <v>52</v>
      </c>
      <c r="B25" s="2" t="s">
        <v>30</v>
      </c>
      <c r="C25" s="2" t="s">
        <v>23</v>
      </c>
      <c r="D25" s="3" t="n">
        <v>3500.97</v>
      </c>
      <c r="E25" s="2" t="n">
        <v>2930</v>
      </c>
      <c r="F25" s="2" t="n">
        <v>0</v>
      </c>
      <c r="G25" s="3" t="n">
        <v>20903.59</v>
      </c>
      <c r="H25" s="2" t="n">
        <v>31.07</v>
      </c>
      <c r="I25" s="2" t="n">
        <v>5.97</v>
      </c>
      <c r="J25" s="2" t="s">
        <v>26</v>
      </c>
    </row>
    <row r="26" customFormat="false" ht="15" hidden="false" customHeight="false" outlineLevel="0" collapsed="false">
      <c r="A26" s="2" t="s">
        <v>53</v>
      </c>
      <c r="B26" s="2" t="s">
        <v>22</v>
      </c>
      <c r="C26" s="2" t="s">
        <v>33</v>
      </c>
      <c r="D26" s="3" t="n">
        <v>3623.21</v>
      </c>
      <c r="E26" s="2" t="n">
        <v>774</v>
      </c>
      <c r="F26" s="2" t="n">
        <v>39</v>
      </c>
      <c r="G26" s="3" t="n">
        <v>4470.25</v>
      </c>
      <c r="H26" s="2" t="n">
        <v>20.86</v>
      </c>
      <c r="I26" s="2" t="n">
        <v>1.23</v>
      </c>
      <c r="J26" s="2" t="s">
        <v>48</v>
      </c>
    </row>
    <row r="27" customFormat="false" ht="15" hidden="false" customHeight="false" outlineLevel="0" collapsed="false">
      <c r="A27" s="2" t="s">
        <v>54</v>
      </c>
      <c r="B27" s="2" t="s">
        <v>18</v>
      </c>
      <c r="C27" s="2" t="s">
        <v>19</v>
      </c>
      <c r="D27" s="3" t="n">
        <v>11532.61</v>
      </c>
      <c r="E27" s="2" t="n">
        <v>2875</v>
      </c>
      <c r="F27" s="2" t="n">
        <v>62</v>
      </c>
      <c r="G27" s="3" t="n">
        <v>22721.01</v>
      </c>
      <c r="H27" s="2" t="n">
        <v>50.32</v>
      </c>
      <c r="I27" s="2" t="n">
        <v>1.97</v>
      </c>
      <c r="J27" s="2" t="s">
        <v>20</v>
      </c>
    </row>
    <row r="28" customFormat="false" ht="15" hidden="false" customHeight="false" outlineLevel="0" collapsed="false">
      <c r="A28" s="2" t="s">
        <v>55</v>
      </c>
      <c r="B28" s="2" t="s">
        <v>18</v>
      </c>
      <c r="C28" s="2" t="s">
        <v>12</v>
      </c>
      <c r="D28" s="3" t="n">
        <v>1050.23</v>
      </c>
      <c r="E28" s="2" t="n">
        <v>1062</v>
      </c>
      <c r="F28" s="2" t="n">
        <v>41</v>
      </c>
      <c r="G28" s="3" t="n">
        <v>14843.38</v>
      </c>
      <c r="H28" s="2" t="n">
        <v>0.56</v>
      </c>
      <c r="I28" s="2" t="n">
        <v>14.13</v>
      </c>
      <c r="J28" s="2" t="s">
        <v>16</v>
      </c>
    </row>
    <row r="29" customFormat="false" ht="15" hidden="false" customHeight="false" outlineLevel="0" collapsed="false">
      <c r="A29" s="2" t="s">
        <v>56</v>
      </c>
      <c r="B29" s="2" t="s">
        <v>22</v>
      </c>
      <c r="C29" s="2" t="s">
        <v>19</v>
      </c>
      <c r="D29" s="3" t="n">
        <v>2173.88</v>
      </c>
      <c r="E29" s="2" t="n">
        <v>2003</v>
      </c>
      <c r="F29" s="2" t="n">
        <v>38</v>
      </c>
      <c r="G29" s="3" t="n">
        <v>15618.73</v>
      </c>
      <c r="H29" s="2" t="n">
        <v>5.39</v>
      </c>
      <c r="I29" s="2" t="n">
        <v>7.18</v>
      </c>
      <c r="J29" s="2" t="s">
        <v>48</v>
      </c>
    </row>
    <row r="30" customFormat="false" ht="15" hidden="false" customHeight="false" outlineLevel="0" collapsed="false">
      <c r="A30" s="2" t="s">
        <v>57</v>
      </c>
      <c r="B30" s="2" t="s">
        <v>22</v>
      </c>
      <c r="C30" s="2" t="s">
        <v>23</v>
      </c>
      <c r="D30" s="3" t="n">
        <v>5286.23</v>
      </c>
      <c r="E30" s="2" t="n">
        <v>86</v>
      </c>
      <c r="F30" s="2" t="n">
        <v>55</v>
      </c>
      <c r="G30" s="3" t="n">
        <v>34738.93</v>
      </c>
      <c r="H30" s="2" t="n">
        <v>0.16</v>
      </c>
      <c r="I30" s="2" t="n">
        <v>6.57</v>
      </c>
      <c r="J30" s="2" t="s">
        <v>20</v>
      </c>
    </row>
    <row r="31" customFormat="false" ht="15" hidden="false" customHeight="false" outlineLevel="0" collapsed="false">
      <c r="A31" s="2" t="s">
        <v>58</v>
      </c>
      <c r="B31" s="2" t="s">
        <v>18</v>
      </c>
      <c r="C31" s="2" t="s">
        <v>12</v>
      </c>
      <c r="D31" s="3" t="n">
        <v>11177.67</v>
      </c>
      <c r="E31" s="2" t="n">
        <v>1547</v>
      </c>
      <c r="F31" s="2" t="n">
        <v>46</v>
      </c>
      <c r="G31" s="3" t="n">
        <v>19204.76</v>
      </c>
      <c r="H31" s="2" t="n">
        <v>0.84</v>
      </c>
      <c r="I31" s="2" t="n">
        <v>1.72</v>
      </c>
      <c r="J31" s="2" t="s">
        <v>26</v>
      </c>
    </row>
    <row r="32" customFormat="false" ht="15" hidden="false" customHeight="false" outlineLevel="0" collapsed="false">
      <c r="A32" s="2" t="s">
        <v>59</v>
      </c>
      <c r="B32" s="2" t="s">
        <v>30</v>
      </c>
      <c r="C32" s="2" t="s">
        <v>33</v>
      </c>
      <c r="D32" s="3" t="n">
        <v>10348.99</v>
      </c>
      <c r="E32" s="2" t="n">
        <v>2778</v>
      </c>
      <c r="F32" s="2" t="n">
        <v>62</v>
      </c>
      <c r="G32" s="3" t="n">
        <v>12164.64</v>
      </c>
      <c r="H32" s="2" t="n">
        <v>12.87</v>
      </c>
      <c r="I32" s="2" t="n">
        <v>1.18</v>
      </c>
      <c r="J32" s="2" t="s">
        <v>24</v>
      </c>
    </row>
    <row r="33" customFormat="false" ht="15" hidden="false" customHeight="false" outlineLevel="0" collapsed="false">
      <c r="A33" s="2" t="s">
        <v>60</v>
      </c>
      <c r="B33" s="2" t="s">
        <v>18</v>
      </c>
      <c r="C33" s="2" t="s">
        <v>19</v>
      </c>
      <c r="D33" s="3" t="n">
        <v>9575.77</v>
      </c>
      <c r="E33" s="2" t="n">
        <v>1103</v>
      </c>
      <c r="F33" s="2" t="n">
        <v>59</v>
      </c>
      <c r="G33" s="3" t="n">
        <v>34885.07</v>
      </c>
      <c r="H33" s="2" t="n">
        <v>0.68</v>
      </c>
      <c r="I33" s="2" t="n">
        <v>3.64</v>
      </c>
      <c r="J33" s="2" t="s">
        <v>16</v>
      </c>
    </row>
    <row r="34" customFormat="false" ht="15" hidden="false" customHeight="false" outlineLevel="0" collapsed="false">
      <c r="A34" s="2" t="s">
        <v>61</v>
      </c>
      <c r="B34" s="2" t="s">
        <v>30</v>
      </c>
      <c r="C34" s="2" t="s">
        <v>15</v>
      </c>
      <c r="D34" s="3" t="n">
        <v>558.2</v>
      </c>
      <c r="E34" s="2" t="n">
        <v>1871</v>
      </c>
      <c r="F34" s="2" t="n">
        <v>83</v>
      </c>
      <c r="G34" s="3" t="n">
        <v>20414.22</v>
      </c>
      <c r="H34" s="2" t="n">
        <v>1.5</v>
      </c>
      <c r="I34" s="2" t="n">
        <v>36.57</v>
      </c>
      <c r="J34" s="2" t="s">
        <v>62</v>
      </c>
    </row>
    <row r="35" customFormat="false" ht="15" hidden="false" customHeight="false" outlineLevel="0" collapsed="false">
      <c r="A35" s="2" t="s">
        <v>63</v>
      </c>
      <c r="B35" s="2" t="s">
        <v>22</v>
      </c>
      <c r="C35" s="2" t="s">
        <v>33</v>
      </c>
      <c r="D35" s="3" t="n">
        <v>2458.7</v>
      </c>
      <c r="E35" s="2" t="n">
        <v>2591</v>
      </c>
      <c r="F35" s="2" t="n">
        <v>23</v>
      </c>
      <c r="G35" s="3" t="n">
        <v>31337.6</v>
      </c>
      <c r="H35" s="2" t="n">
        <v>1.55</v>
      </c>
      <c r="I35" s="2" t="n">
        <v>12.75</v>
      </c>
      <c r="J35" s="2" t="s">
        <v>26</v>
      </c>
    </row>
    <row r="36" customFormat="false" ht="15" hidden="false" customHeight="false" outlineLevel="0" collapsed="false">
      <c r="A36" s="2" t="s">
        <v>64</v>
      </c>
      <c r="B36" s="2" t="s">
        <v>30</v>
      </c>
      <c r="C36" s="2" t="s">
        <v>33</v>
      </c>
      <c r="D36" s="3" t="n">
        <v>10552.94</v>
      </c>
      <c r="E36" s="2" t="n">
        <v>182</v>
      </c>
      <c r="F36" s="2" t="n">
        <v>141</v>
      </c>
      <c r="G36" s="3" t="n">
        <v>5127.3</v>
      </c>
      <c r="H36" s="2" t="n">
        <v>0.39</v>
      </c>
      <c r="I36" s="2" t="n">
        <v>0.49</v>
      </c>
      <c r="J36" s="2" t="s">
        <v>48</v>
      </c>
    </row>
    <row r="37" customFormat="false" ht="15" hidden="false" customHeight="false" outlineLevel="0" collapsed="false">
      <c r="A37" s="2" t="s">
        <v>65</v>
      </c>
      <c r="B37" s="2" t="s">
        <v>30</v>
      </c>
      <c r="C37" s="2" t="s">
        <v>19</v>
      </c>
      <c r="D37" s="3" t="n">
        <v>3020.26</v>
      </c>
      <c r="E37" s="2" t="n">
        <v>1698</v>
      </c>
      <c r="F37" s="2" t="n">
        <v>98</v>
      </c>
      <c r="G37" s="3" t="n">
        <v>34195.67</v>
      </c>
      <c r="H37" s="2" t="n">
        <v>2.94</v>
      </c>
      <c r="I37" s="2" t="n">
        <v>11.32</v>
      </c>
      <c r="J37" s="2" t="s">
        <v>16</v>
      </c>
    </row>
    <row r="38" customFormat="false" ht="15" hidden="false" customHeight="false" outlineLevel="0" collapsed="false">
      <c r="A38" s="2" t="s">
        <v>66</v>
      </c>
      <c r="B38" s="2" t="s">
        <v>30</v>
      </c>
      <c r="C38" s="2" t="s">
        <v>33</v>
      </c>
      <c r="D38" s="3" t="n">
        <v>5157.34</v>
      </c>
      <c r="E38" s="2" t="n">
        <v>1784</v>
      </c>
      <c r="F38" s="2" t="n">
        <v>21</v>
      </c>
      <c r="G38" s="3" t="n">
        <v>35993.19</v>
      </c>
      <c r="H38" s="2"/>
      <c r="I38" s="2" t="n">
        <v>6.98</v>
      </c>
      <c r="J38" s="2" t="s">
        <v>16</v>
      </c>
    </row>
    <row r="39" customFormat="false" ht="15" hidden="false" customHeight="false" outlineLevel="0" collapsed="false">
      <c r="A39" s="2" t="s">
        <v>67</v>
      </c>
      <c r="B39" s="2" t="s">
        <v>30</v>
      </c>
      <c r="C39" s="2" t="s">
        <v>38</v>
      </c>
      <c r="D39" s="3" t="n">
        <v>9979.42</v>
      </c>
      <c r="E39" s="2" t="n">
        <v>1453</v>
      </c>
      <c r="F39" s="2" t="n">
        <v>136</v>
      </c>
      <c r="G39" s="3" t="n">
        <v>36456.75</v>
      </c>
      <c r="H39" s="2" t="n">
        <v>0.74</v>
      </c>
      <c r="I39" s="2" t="n">
        <v>3.65</v>
      </c>
      <c r="J39" s="2" t="s">
        <v>24</v>
      </c>
    </row>
    <row r="40" customFormat="false" ht="15" hidden="false" customHeight="false" outlineLevel="0" collapsed="false">
      <c r="A40" s="2" t="s">
        <v>68</v>
      </c>
      <c r="B40" s="2" t="s">
        <v>18</v>
      </c>
      <c r="C40" s="2" t="s">
        <v>33</v>
      </c>
      <c r="D40" s="3" t="n">
        <v>7353.47</v>
      </c>
      <c r="E40" s="2" t="n">
        <v>999</v>
      </c>
      <c r="F40" s="2" t="n">
        <v>49</v>
      </c>
      <c r="G40" s="3" t="n">
        <v>12615.19</v>
      </c>
      <c r="H40" s="2" t="n">
        <v>0.8</v>
      </c>
      <c r="I40" s="2" t="n">
        <v>1.72</v>
      </c>
      <c r="J40" s="2" t="s">
        <v>24</v>
      </c>
    </row>
    <row r="41" customFormat="false" ht="15" hidden="false" customHeight="false" outlineLevel="0" collapsed="false">
      <c r="A41" s="2" t="s">
        <v>69</v>
      </c>
      <c r="B41" s="2" t="s">
        <v>47</v>
      </c>
      <c r="C41" s="2" t="s">
        <v>38</v>
      </c>
      <c r="D41" s="3" t="n">
        <v>11411.55</v>
      </c>
      <c r="E41" s="2" t="n">
        <v>1091</v>
      </c>
      <c r="F41" s="2" t="n">
        <v>0</v>
      </c>
      <c r="G41" s="3" t="n">
        <v>0</v>
      </c>
      <c r="H41" s="2"/>
      <c r="I41" s="2" t="n">
        <v>0</v>
      </c>
      <c r="J41" s="2" t="s">
        <v>16</v>
      </c>
    </row>
    <row r="42" customFormat="false" ht="15" hidden="false" customHeight="false" outlineLevel="0" collapsed="false">
      <c r="A42" s="2" t="s">
        <v>70</v>
      </c>
      <c r="B42" s="2" t="s">
        <v>18</v>
      </c>
      <c r="C42" s="2" t="s">
        <v>38</v>
      </c>
      <c r="D42" s="3" t="n">
        <v>9152.81</v>
      </c>
      <c r="E42" s="2" t="n">
        <v>2066</v>
      </c>
      <c r="F42" s="2" t="n">
        <v>29</v>
      </c>
      <c r="G42" s="3" t="n">
        <v>22526.36</v>
      </c>
      <c r="H42" s="2" t="n">
        <v>1.29</v>
      </c>
      <c r="I42" s="2" t="n">
        <v>2.46</v>
      </c>
      <c r="J42" s="2" t="s">
        <v>31</v>
      </c>
    </row>
    <row r="43" customFormat="false" ht="15" hidden="false" customHeight="false" outlineLevel="0" collapsed="false">
      <c r="A43" s="2" t="s">
        <v>71</v>
      </c>
      <c r="B43" s="2" t="s">
        <v>11</v>
      </c>
      <c r="C43" s="2" t="s">
        <v>23</v>
      </c>
      <c r="D43" s="3" t="n">
        <v>11658.43</v>
      </c>
      <c r="E43" s="2" t="n">
        <v>2619</v>
      </c>
      <c r="F43" s="2" t="n">
        <v>101</v>
      </c>
      <c r="G43" s="3" t="n">
        <v>27696.29</v>
      </c>
      <c r="H43" s="2" t="n">
        <v>2.3</v>
      </c>
      <c r="I43" s="2" t="n">
        <v>2.38</v>
      </c>
      <c r="J43" s="2" t="s">
        <v>13</v>
      </c>
    </row>
    <row r="44" customFormat="false" ht="15" hidden="false" customHeight="false" outlineLevel="0" collapsed="false">
      <c r="A44" s="2" t="s">
        <v>72</v>
      </c>
      <c r="B44" s="2" t="s">
        <v>22</v>
      </c>
      <c r="C44" s="2" t="s">
        <v>33</v>
      </c>
      <c r="D44" s="3" t="n">
        <v>5924.38</v>
      </c>
      <c r="E44" s="2" t="n">
        <v>1762</v>
      </c>
      <c r="F44" s="2" t="n">
        <v>59</v>
      </c>
      <c r="G44" s="3" t="n">
        <v>4131.8</v>
      </c>
      <c r="H44" s="2" t="n">
        <v>2.51</v>
      </c>
      <c r="I44" s="2" t="n">
        <v>0.7</v>
      </c>
      <c r="J44" s="2" t="s">
        <v>20</v>
      </c>
    </row>
    <row r="45" customFormat="false" ht="15" hidden="false" customHeight="false" outlineLevel="0" collapsed="false">
      <c r="A45" s="2" t="s">
        <v>73</v>
      </c>
      <c r="B45" s="2" t="s">
        <v>11</v>
      </c>
      <c r="C45" s="2" t="s">
        <v>38</v>
      </c>
      <c r="D45" s="3" t="n">
        <v>6277.15</v>
      </c>
      <c r="E45" s="2" t="n">
        <v>1972</v>
      </c>
      <c r="F45" s="2" t="n">
        <v>105</v>
      </c>
      <c r="G45" s="3" t="n">
        <v>36359.67</v>
      </c>
      <c r="H45" s="2" t="n">
        <v>1.21</v>
      </c>
      <c r="I45" s="2" t="n">
        <v>5.79</v>
      </c>
      <c r="J45" s="2" t="s">
        <v>20</v>
      </c>
    </row>
    <row r="46" customFormat="false" ht="15" hidden="false" customHeight="false" outlineLevel="0" collapsed="false">
      <c r="A46" s="2" t="s">
        <v>74</v>
      </c>
      <c r="B46" s="2" t="s">
        <v>22</v>
      </c>
      <c r="C46" s="2" t="s">
        <v>12</v>
      </c>
      <c r="D46" s="3" t="n">
        <v>7347.93</v>
      </c>
      <c r="E46" s="2" t="n">
        <v>2301</v>
      </c>
      <c r="F46" s="2" t="n">
        <v>0</v>
      </c>
      <c r="G46" s="3" t="n">
        <v>35617.27</v>
      </c>
      <c r="H46" s="2" t="n">
        <v>1.18</v>
      </c>
      <c r="I46" s="2" t="n">
        <v>4.85</v>
      </c>
      <c r="J46" s="2" t="s">
        <v>24</v>
      </c>
    </row>
    <row r="47" customFormat="false" ht="15" hidden="false" customHeight="false" outlineLevel="0" collapsed="false">
      <c r="A47" s="2" t="s">
        <v>75</v>
      </c>
      <c r="B47" s="2" t="s">
        <v>22</v>
      </c>
      <c r="C47" s="2" t="s">
        <v>33</v>
      </c>
      <c r="D47" s="3" t="n">
        <v>12695.49</v>
      </c>
      <c r="E47" s="2" t="n">
        <v>1169</v>
      </c>
      <c r="F47" s="2" t="n">
        <v>0</v>
      </c>
      <c r="G47" s="3" t="n">
        <v>2788.51</v>
      </c>
      <c r="H47" s="2"/>
      <c r="I47" s="2" t="n">
        <v>0.22</v>
      </c>
      <c r="J47" s="2" t="s">
        <v>16</v>
      </c>
    </row>
    <row r="48" customFormat="false" ht="15" hidden="false" customHeight="false" outlineLevel="0" collapsed="false">
      <c r="A48" s="2" t="s">
        <v>76</v>
      </c>
      <c r="B48" s="2" t="s">
        <v>30</v>
      </c>
      <c r="C48" s="2" t="s">
        <v>38</v>
      </c>
      <c r="D48" s="3" t="n">
        <v>12049.55</v>
      </c>
      <c r="E48" s="2" t="n">
        <v>854</v>
      </c>
      <c r="F48" s="2" t="n">
        <v>13</v>
      </c>
      <c r="G48" s="3" t="n">
        <v>15892.29</v>
      </c>
      <c r="H48" s="2" t="n">
        <v>0.5</v>
      </c>
      <c r="I48" s="2" t="n">
        <v>1.32</v>
      </c>
      <c r="J48" s="2" t="s">
        <v>16</v>
      </c>
    </row>
    <row r="49" customFormat="false" ht="15" hidden="false" customHeight="false" outlineLevel="0" collapsed="false">
      <c r="A49" s="2" t="s">
        <v>77</v>
      </c>
      <c r="B49" s="2" t="s">
        <v>11</v>
      </c>
      <c r="C49" s="2" t="s">
        <v>33</v>
      </c>
      <c r="D49" s="3" t="n">
        <v>7918.4</v>
      </c>
      <c r="E49" s="2" t="n">
        <v>2535</v>
      </c>
      <c r="F49" s="2" t="n">
        <v>66</v>
      </c>
      <c r="G49" s="3" t="n">
        <v>25527.92</v>
      </c>
      <c r="H49" s="2"/>
      <c r="I49" s="2" t="n">
        <v>3.22</v>
      </c>
      <c r="J49" s="2" t="s">
        <v>31</v>
      </c>
    </row>
    <row r="50" customFormat="false" ht="15" hidden="false" customHeight="false" outlineLevel="0" collapsed="false">
      <c r="A50" s="2" t="s">
        <v>78</v>
      </c>
      <c r="B50" s="2" t="s">
        <v>22</v>
      </c>
      <c r="C50" s="2" t="s">
        <v>33</v>
      </c>
      <c r="D50" s="3" t="n">
        <v>6093.66</v>
      </c>
      <c r="E50" s="2" t="n">
        <v>2468</v>
      </c>
      <c r="F50" s="2" t="n">
        <v>8</v>
      </c>
      <c r="G50" s="3" t="n">
        <v>10666.69</v>
      </c>
      <c r="H50" s="2" t="n">
        <v>2.73</v>
      </c>
      <c r="I50" s="2" t="n">
        <v>1.75</v>
      </c>
      <c r="J50" s="2" t="s">
        <v>79</v>
      </c>
    </row>
    <row r="51" customFormat="false" ht="15" hidden="false" customHeight="false" outlineLevel="0" collapsed="false">
      <c r="A51" s="2" t="s">
        <v>80</v>
      </c>
      <c r="B51" s="2" t="s">
        <v>18</v>
      </c>
      <c r="C51" s="2" t="s">
        <v>12</v>
      </c>
      <c r="D51" s="3" t="n">
        <v>9866.18</v>
      </c>
      <c r="E51" s="2" t="n">
        <v>645</v>
      </c>
      <c r="F51" s="2" t="n">
        <v>146</v>
      </c>
      <c r="G51" s="3" t="n">
        <v>18420.32</v>
      </c>
      <c r="H51" s="2" t="n">
        <v>0.33</v>
      </c>
      <c r="I51" s="2" t="n">
        <v>1.87</v>
      </c>
      <c r="J51" s="2" t="s">
        <v>81</v>
      </c>
    </row>
    <row r="52" customFormat="false" ht="15" hidden="false" customHeight="false" outlineLevel="0" collapsed="false">
      <c r="A52" s="2" t="s">
        <v>82</v>
      </c>
      <c r="B52" s="2" t="s">
        <v>47</v>
      </c>
      <c r="C52" s="2" t="s">
        <v>12</v>
      </c>
      <c r="D52" s="3" t="n">
        <v>12556.29</v>
      </c>
      <c r="E52" s="2" t="n">
        <v>1794</v>
      </c>
      <c r="F52" s="2" t="n">
        <v>132</v>
      </c>
      <c r="G52" s="3" t="n">
        <v>13658.47</v>
      </c>
      <c r="H52" s="2" t="n">
        <v>2.95</v>
      </c>
      <c r="I52" s="2" t="n">
        <v>1.09</v>
      </c>
      <c r="J52" s="2" t="s">
        <v>62</v>
      </c>
    </row>
    <row r="53" customFormat="false" ht="15" hidden="false" customHeight="false" outlineLevel="0" collapsed="false">
      <c r="A53" s="2" t="s">
        <v>83</v>
      </c>
      <c r="B53" s="2" t="s">
        <v>22</v>
      </c>
      <c r="C53" s="2" t="s">
        <v>38</v>
      </c>
      <c r="D53" s="3" t="n">
        <v>3046.68</v>
      </c>
      <c r="E53" s="2" t="n">
        <v>1798</v>
      </c>
      <c r="F53" s="2" t="n">
        <v>131</v>
      </c>
      <c r="G53" s="3" t="n">
        <v>24129.74</v>
      </c>
      <c r="H53" s="2" t="n">
        <v>1.41</v>
      </c>
      <c r="I53" s="2" t="n">
        <v>7.92</v>
      </c>
      <c r="J53" s="2" t="s">
        <v>62</v>
      </c>
    </row>
    <row r="54" customFormat="false" ht="15" hidden="false" customHeight="false" outlineLevel="0" collapsed="false">
      <c r="A54" s="2" t="s">
        <v>84</v>
      </c>
      <c r="B54" s="2" t="s">
        <v>11</v>
      </c>
      <c r="C54" s="2" t="s">
        <v>38</v>
      </c>
      <c r="D54" s="3" t="n">
        <v>2986.97</v>
      </c>
      <c r="E54" s="2" t="n">
        <v>625</v>
      </c>
      <c r="F54" s="2" t="n">
        <v>0</v>
      </c>
      <c r="G54" s="3" t="n">
        <v>34736.84</v>
      </c>
      <c r="H54" s="2" t="n">
        <v>0.42</v>
      </c>
      <c r="I54" s="2" t="n">
        <v>11.63</v>
      </c>
      <c r="J54" s="2" t="s">
        <v>26</v>
      </c>
    </row>
    <row r="55" customFormat="false" ht="15" hidden="false" customHeight="false" outlineLevel="0" collapsed="false">
      <c r="A55" s="2" t="s">
        <v>85</v>
      </c>
      <c r="B55" s="2" t="s">
        <v>30</v>
      </c>
      <c r="C55" s="2" t="s">
        <v>38</v>
      </c>
      <c r="D55" s="3" t="n">
        <v>5000.37</v>
      </c>
      <c r="E55" s="2" t="n">
        <v>928</v>
      </c>
      <c r="F55" s="2" t="n">
        <v>137</v>
      </c>
      <c r="G55" s="3" t="n">
        <v>24008.79</v>
      </c>
      <c r="H55" s="2" t="n">
        <v>1.08</v>
      </c>
      <c r="I55" s="2" t="n">
        <v>4.8</v>
      </c>
      <c r="J55" s="2" t="s">
        <v>48</v>
      </c>
    </row>
    <row r="56" customFormat="false" ht="15" hidden="false" customHeight="false" outlineLevel="0" collapsed="false">
      <c r="A56" s="2" t="s">
        <v>86</v>
      </c>
      <c r="B56" s="2" t="s">
        <v>18</v>
      </c>
      <c r="C56" s="2" t="s">
        <v>33</v>
      </c>
      <c r="D56" s="3" t="n">
        <v>6977.28</v>
      </c>
      <c r="E56" s="2" t="n">
        <v>699</v>
      </c>
      <c r="F56" s="2" t="n">
        <v>52</v>
      </c>
      <c r="G56" s="3" t="n">
        <v>26976.28</v>
      </c>
      <c r="H56" s="2" t="n">
        <v>0.37</v>
      </c>
      <c r="I56" s="2" t="n">
        <v>3.87</v>
      </c>
      <c r="J56" s="2" t="s">
        <v>26</v>
      </c>
    </row>
    <row r="57" customFormat="false" ht="15" hidden="false" customHeight="false" outlineLevel="0" collapsed="false">
      <c r="A57" s="2" t="s">
        <v>87</v>
      </c>
      <c r="B57" s="2" t="s">
        <v>18</v>
      </c>
      <c r="C57" s="2" t="s">
        <v>12</v>
      </c>
      <c r="D57" s="3" t="n">
        <v>9517.72</v>
      </c>
      <c r="E57" s="2" t="n">
        <v>78</v>
      </c>
      <c r="F57" s="2" t="n">
        <v>8</v>
      </c>
      <c r="G57" s="3" t="n">
        <v>0</v>
      </c>
      <c r="H57" s="2" t="n">
        <v>0.04</v>
      </c>
      <c r="I57" s="2" t="n">
        <v>0</v>
      </c>
      <c r="J57" s="2" t="s">
        <v>26</v>
      </c>
    </row>
    <row r="58" customFormat="false" ht="15" hidden="false" customHeight="false" outlineLevel="0" collapsed="false">
      <c r="A58" s="2" t="s">
        <v>88</v>
      </c>
      <c r="B58" s="2" t="s">
        <v>11</v>
      </c>
      <c r="C58" s="2" t="s">
        <v>19</v>
      </c>
      <c r="D58" s="3" t="n">
        <v>8704.02</v>
      </c>
      <c r="E58" s="2" t="n">
        <v>1422</v>
      </c>
      <c r="F58" s="2" t="n">
        <v>131</v>
      </c>
      <c r="G58" s="3" t="n">
        <v>7081.7</v>
      </c>
      <c r="H58" s="2" t="n">
        <v>2.7</v>
      </c>
      <c r="I58" s="2" t="n">
        <v>0.81</v>
      </c>
      <c r="J58" s="2" t="s">
        <v>31</v>
      </c>
    </row>
    <row r="59" customFormat="false" ht="15" hidden="false" customHeight="false" outlineLevel="0" collapsed="false">
      <c r="A59" s="2" t="s">
        <v>89</v>
      </c>
      <c r="B59" s="2" t="s">
        <v>22</v>
      </c>
      <c r="C59" s="2" t="s">
        <v>23</v>
      </c>
      <c r="D59" s="3" t="n">
        <v>8319.86</v>
      </c>
      <c r="E59" s="2" t="n">
        <v>2641</v>
      </c>
      <c r="F59" s="2" t="n">
        <v>33</v>
      </c>
      <c r="G59" s="3" t="n">
        <v>19317.56</v>
      </c>
      <c r="H59" s="2"/>
      <c r="I59" s="2" t="n">
        <v>2.32</v>
      </c>
      <c r="J59" s="2" t="s">
        <v>62</v>
      </c>
    </row>
    <row r="60" customFormat="false" ht="15" hidden="false" customHeight="false" outlineLevel="0" collapsed="false">
      <c r="A60" s="2" t="s">
        <v>90</v>
      </c>
      <c r="B60" s="2" t="s">
        <v>22</v>
      </c>
      <c r="C60" s="2" t="s">
        <v>15</v>
      </c>
      <c r="D60" s="3" t="n">
        <v>10918.87</v>
      </c>
      <c r="E60" s="2" t="n">
        <v>1583</v>
      </c>
      <c r="F60" s="2" t="n">
        <v>9</v>
      </c>
      <c r="G60" s="3" t="n">
        <v>19211.98</v>
      </c>
      <c r="H60" s="2"/>
      <c r="I60" s="2" t="n">
        <v>1.76</v>
      </c>
      <c r="J60" s="2" t="s">
        <v>24</v>
      </c>
    </row>
    <row r="61" customFormat="false" ht="15" hidden="false" customHeight="false" outlineLevel="0" collapsed="false">
      <c r="A61" s="2" t="s">
        <v>91</v>
      </c>
      <c r="B61" s="2" t="s">
        <v>22</v>
      </c>
      <c r="C61" s="2" t="s">
        <v>19</v>
      </c>
      <c r="D61" s="3" t="n">
        <v>3392.26</v>
      </c>
      <c r="E61" s="2" t="n">
        <v>540</v>
      </c>
      <c r="F61" s="2" t="n">
        <v>114</v>
      </c>
      <c r="G61" s="3" t="n">
        <v>10374.59</v>
      </c>
      <c r="H61" s="2" t="n">
        <v>0.32</v>
      </c>
      <c r="I61" s="2" t="n">
        <v>3.06</v>
      </c>
      <c r="J61" s="2" t="s">
        <v>20</v>
      </c>
    </row>
    <row r="62" customFormat="false" ht="15" hidden="false" customHeight="false" outlineLevel="0" collapsed="false">
      <c r="A62" s="2" t="s">
        <v>92</v>
      </c>
      <c r="B62" s="2" t="s">
        <v>11</v>
      </c>
      <c r="C62" s="2" t="s">
        <v>33</v>
      </c>
      <c r="D62" s="3" t="n">
        <v>1585.71</v>
      </c>
      <c r="E62" s="2" t="n">
        <v>1538</v>
      </c>
      <c r="F62" s="2" t="n">
        <v>58</v>
      </c>
      <c r="G62" s="3" t="n">
        <v>19179.95</v>
      </c>
      <c r="H62" s="2" t="n">
        <v>7.77</v>
      </c>
      <c r="I62" s="2" t="n">
        <v>12.1</v>
      </c>
      <c r="J62" s="2" t="s">
        <v>31</v>
      </c>
    </row>
    <row r="63" customFormat="false" ht="15" hidden="false" customHeight="false" outlineLevel="0" collapsed="false">
      <c r="A63" s="2" t="s">
        <v>93</v>
      </c>
      <c r="B63" s="2" t="s">
        <v>18</v>
      </c>
      <c r="C63" s="2" t="s">
        <v>15</v>
      </c>
      <c r="D63" s="3" t="n">
        <v>2802.32</v>
      </c>
      <c r="E63" s="2" t="n">
        <v>965</v>
      </c>
      <c r="F63" s="2" t="n">
        <v>116</v>
      </c>
      <c r="G63" s="3" t="n">
        <v>22609.66</v>
      </c>
      <c r="H63" s="2" t="n">
        <v>0.82</v>
      </c>
      <c r="I63" s="2" t="n">
        <v>8.07</v>
      </c>
      <c r="J63" s="2" t="s">
        <v>24</v>
      </c>
    </row>
    <row r="64" customFormat="false" ht="15" hidden="false" customHeight="false" outlineLevel="0" collapsed="false">
      <c r="A64" s="2" t="s">
        <v>94</v>
      </c>
      <c r="B64" s="2" t="s">
        <v>11</v>
      </c>
      <c r="C64" s="2" t="s">
        <v>33</v>
      </c>
      <c r="D64" s="3" t="n">
        <v>3453.47</v>
      </c>
      <c r="E64" s="2" t="n">
        <v>2886</v>
      </c>
      <c r="F64" s="2" t="n">
        <v>0</v>
      </c>
      <c r="G64" s="3" t="n">
        <v>36403.84</v>
      </c>
      <c r="H64" s="2" t="n">
        <v>4.67</v>
      </c>
      <c r="I64" s="2" t="n">
        <v>10.54</v>
      </c>
      <c r="J64" s="2" t="s">
        <v>24</v>
      </c>
    </row>
    <row r="65" customFormat="false" ht="15" hidden="false" customHeight="false" outlineLevel="0" collapsed="false">
      <c r="A65" s="2" t="s">
        <v>95</v>
      </c>
      <c r="B65" s="2" t="s">
        <v>30</v>
      </c>
      <c r="C65" s="2" t="s">
        <v>12</v>
      </c>
      <c r="D65" s="3" t="n">
        <v>2666.99</v>
      </c>
      <c r="E65" s="2" t="n">
        <v>2989</v>
      </c>
      <c r="F65" s="2" t="n">
        <v>0</v>
      </c>
      <c r="G65" s="3" t="n">
        <v>30034.31</v>
      </c>
      <c r="H65" s="2" t="n">
        <v>2.9</v>
      </c>
      <c r="I65" s="2" t="n">
        <v>11.26</v>
      </c>
      <c r="J65" s="2" t="s">
        <v>24</v>
      </c>
    </row>
    <row r="66" customFormat="false" ht="15" hidden="false" customHeight="false" outlineLevel="0" collapsed="false">
      <c r="A66" s="2" t="s">
        <v>96</v>
      </c>
      <c r="B66" s="2" t="s">
        <v>11</v>
      </c>
      <c r="C66" s="2" t="s">
        <v>38</v>
      </c>
      <c r="D66" s="3" t="n">
        <v>2061.05</v>
      </c>
      <c r="E66" s="2" t="n">
        <v>1877</v>
      </c>
      <c r="F66" s="2" t="n">
        <v>125</v>
      </c>
      <c r="G66" s="3" t="n">
        <v>14782.71</v>
      </c>
      <c r="H66" s="2" t="n">
        <v>1.42</v>
      </c>
      <c r="I66" s="2" t="n">
        <v>7.17</v>
      </c>
      <c r="J66" s="2" t="s">
        <v>48</v>
      </c>
    </row>
    <row r="67" customFormat="false" ht="15" hidden="false" customHeight="false" outlineLevel="0" collapsed="false">
      <c r="A67" s="2" t="s">
        <v>97</v>
      </c>
      <c r="B67" s="2" t="s">
        <v>11</v>
      </c>
      <c r="C67" s="2" t="s">
        <v>23</v>
      </c>
      <c r="D67" s="3" t="n">
        <v>13087.32</v>
      </c>
      <c r="E67" s="2" t="n">
        <v>2708</v>
      </c>
      <c r="F67" s="2" t="n">
        <v>69</v>
      </c>
      <c r="G67" s="3" t="n">
        <v>24055.59</v>
      </c>
      <c r="H67" s="2" t="n">
        <v>5.47</v>
      </c>
      <c r="I67" s="2" t="n">
        <v>1.84</v>
      </c>
      <c r="J67" s="2" t="s">
        <v>24</v>
      </c>
    </row>
    <row r="68" customFormat="false" ht="15" hidden="false" customHeight="false" outlineLevel="0" collapsed="false">
      <c r="A68" s="2" t="s">
        <v>98</v>
      </c>
      <c r="B68" s="2" t="s">
        <v>30</v>
      </c>
      <c r="C68" s="2" t="s">
        <v>23</v>
      </c>
      <c r="D68" s="3" t="n">
        <v>4514.48</v>
      </c>
      <c r="E68" s="2" t="n">
        <v>2965</v>
      </c>
      <c r="F68" s="2" t="n">
        <v>106</v>
      </c>
      <c r="G68" s="3" t="n">
        <v>4040.54</v>
      </c>
      <c r="H68" s="2" t="n">
        <v>3.01</v>
      </c>
      <c r="I68" s="2" t="n">
        <v>0.9</v>
      </c>
      <c r="J68" s="2" t="s">
        <v>24</v>
      </c>
    </row>
    <row r="69" customFormat="false" ht="15" hidden="false" customHeight="false" outlineLevel="0" collapsed="false">
      <c r="A69" s="2" t="s">
        <v>99</v>
      </c>
      <c r="B69" s="2" t="s">
        <v>22</v>
      </c>
      <c r="C69" s="2" t="s">
        <v>19</v>
      </c>
      <c r="D69" s="3" t="n">
        <v>13740.98</v>
      </c>
      <c r="E69" s="2" t="n">
        <v>2895</v>
      </c>
      <c r="F69" s="2" t="n">
        <v>60</v>
      </c>
      <c r="G69" s="3" t="n">
        <v>0</v>
      </c>
      <c r="H69" s="2" t="n">
        <v>4.91</v>
      </c>
      <c r="I69" s="2" t="n">
        <v>0</v>
      </c>
      <c r="J69" s="2" t="s">
        <v>20</v>
      </c>
    </row>
    <row r="70" customFormat="false" ht="15" hidden="false" customHeight="false" outlineLevel="0" collapsed="false">
      <c r="A70" s="2" t="s">
        <v>100</v>
      </c>
      <c r="B70" s="2" t="s">
        <v>18</v>
      </c>
      <c r="C70" s="2" t="s">
        <v>15</v>
      </c>
      <c r="D70" s="3" t="n">
        <v>9020.23</v>
      </c>
      <c r="E70" s="2" t="n">
        <v>1644</v>
      </c>
      <c r="F70" s="2" t="n">
        <v>40</v>
      </c>
      <c r="G70" s="3" t="n">
        <v>37908.84</v>
      </c>
      <c r="H70" s="2" t="n">
        <v>1.54</v>
      </c>
      <c r="I70" s="2" t="n">
        <v>4.2</v>
      </c>
      <c r="J70" s="2" t="s">
        <v>20</v>
      </c>
    </row>
    <row r="71" customFormat="false" ht="15" hidden="false" customHeight="false" outlineLevel="0" collapsed="false">
      <c r="A71" s="2" t="s">
        <v>101</v>
      </c>
      <c r="B71" s="2" t="s">
        <v>11</v>
      </c>
      <c r="C71" s="2" t="s">
        <v>23</v>
      </c>
      <c r="D71" s="3" t="n">
        <v>4112.82</v>
      </c>
      <c r="E71" s="2" t="n">
        <v>916</v>
      </c>
      <c r="F71" s="2" t="n">
        <v>107</v>
      </c>
      <c r="G71" s="3" t="n">
        <v>15025.73</v>
      </c>
      <c r="H71" s="2" t="n">
        <v>9.42</v>
      </c>
      <c r="I71" s="2" t="n">
        <v>3.65</v>
      </c>
      <c r="J71" s="2" t="s">
        <v>31</v>
      </c>
    </row>
    <row r="72" customFormat="false" ht="15" hidden="false" customHeight="false" outlineLevel="0" collapsed="false">
      <c r="A72" s="2" t="s">
        <v>102</v>
      </c>
      <c r="B72" s="2" t="s">
        <v>22</v>
      </c>
      <c r="C72" s="2" t="s">
        <v>23</v>
      </c>
      <c r="D72" s="3" t="n">
        <v>10365.35</v>
      </c>
      <c r="E72" s="2" t="n">
        <v>545</v>
      </c>
      <c r="F72" s="2" t="n">
        <v>59</v>
      </c>
      <c r="G72" s="3" t="n">
        <v>0</v>
      </c>
      <c r="H72" s="2" t="n">
        <v>2.83</v>
      </c>
      <c r="I72" s="2" t="n">
        <v>0</v>
      </c>
      <c r="J72" s="2" t="s">
        <v>24</v>
      </c>
    </row>
    <row r="73" customFormat="false" ht="15" hidden="false" customHeight="false" outlineLevel="0" collapsed="false">
      <c r="A73" s="2" t="s">
        <v>103</v>
      </c>
      <c r="B73" s="2" t="s">
        <v>18</v>
      </c>
      <c r="C73" s="2" t="s">
        <v>19</v>
      </c>
      <c r="D73" s="3" t="n">
        <v>1675.32</v>
      </c>
      <c r="E73" s="2" t="n">
        <v>1844</v>
      </c>
      <c r="F73" s="2" t="n">
        <v>29</v>
      </c>
      <c r="G73" s="3" t="n">
        <v>0</v>
      </c>
      <c r="H73" s="2" t="n">
        <v>0.93</v>
      </c>
      <c r="I73" s="2" t="n">
        <v>0</v>
      </c>
      <c r="J73" s="2" t="s">
        <v>20</v>
      </c>
    </row>
    <row r="74" customFormat="false" ht="15" hidden="false" customHeight="false" outlineLevel="0" collapsed="false">
      <c r="A74" s="2" t="s">
        <v>104</v>
      </c>
      <c r="B74" s="2" t="s">
        <v>22</v>
      </c>
      <c r="C74" s="2" t="s">
        <v>33</v>
      </c>
      <c r="D74" s="3" t="n">
        <v>10056.96</v>
      </c>
      <c r="E74" s="2" t="n">
        <v>949</v>
      </c>
      <c r="F74" s="2" t="n">
        <v>111</v>
      </c>
      <c r="G74" s="3" t="n">
        <v>35966.91</v>
      </c>
      <c r="H74" s="2" t="n">
        <v>5.07</v>
      </c>
      <c r="I74" s="2" t="n">
        <v>3.58</v>
      </c>
      <c r="J74" s="2" t="s">
        <v>16</v>
      </c>
    </row>
    <row r="75" customFormat="false" ht="15" hidden="false" customHeight="false" outlineLevel="0" collapsed="false">
      <c r="A75" s="2" t="s">
        <v>105</v>
      </c>
      <c r="B75" s="2" t="s">
        <v>30</v>
      </c>
      <c r="C75" s="2" t="s">
        <v>15</v>
      </c>
      <c r="D75" s="3" t="n">
        <v>4712.71</v>
      </c>
      <c r="E75" s="2" t="n">
        <v>2544</v>
      </c>
      <c r="F75" s="2" t="n">
        <v>22</v>
      </c>
      <c r="G75" s="3" t="n">
        <v>15164.43</v>
      </c>
      <c r="H75" s="2" t="n">
        <v>1.64</v>
      </c>
      <c r="I75" s="2" t="n">
        <v>3.22</v>
      </c>
      <c r="J75" s="2" t="s">
        <v>13</v>
      </c>
    </row>
    <row r="76" customFormat="false" ht="15" hidden="false" customHeight="false" outlineLevel="0" collapsed="false">
      <c r="A76" s="2" t="s">
        <v>106</v>
      </c>
      <c r="B76" s="2" t="s">
        <v>18</v>
      </c>
      <c r="C76" s="2" t="s">
        <v>12</v>
      </c>
      <c r="D76" s="3" t="n">
        <v>3410.95</v>
      </c>
      <c r="E76" s="2" t="n">
        <v>2727</v>
      </c>
      <c r="F76" s="2" t="n">
        <v>97</v>
      </c>
      <c r="G76" s="3" t="n">
        <v>38500.63</v>
      </c>
      <c r="H76" s="2" t="n">
        <v>5.25</v>
      </c>
      <c r="I76" s="2" t="n">
        <v>11.29</v>
      </c>
      <c r="J76" s="2" t="s">
        <v>31</v>
      </c>
    </row>
    <row r="77" customFormat="false" ht="15" hidden="false" customHeight="false" outlineLevel="0" collapsed="false">
      <c r="A77" s="2" t="s">
        <v>107</v>
      </c>
      <c r="B77" s="2" t="s">
        <v>47</v>
      </c>
      <c r="C77" s="2" t="s">
        <v>19</v>
      </c>
      <c r="D77" s="3" t="n">
        <v>1254.75</v>
      </c>
      <c r="E77" s="2" t="n">
        <v>1905</v>
      </c>
      <c r="F77" s="2" t="n">
        <v>39</v>
      </c>
      <c r="G77" s="3" t="n">
        <v>7277.59</v>
      </c>
      <c r="H77" s="2" t="n">
        <v>4.21</v>
      </c>
      <c r="I77" s="2" t="n">
        <v>5.8</v>
      </c>
      <c r="J77" s="2" t="s">
        <v>20</v>
      </c>
    </row>
    <row r="78" customFormat="false" ht="15" hidden="false" customHeight="false" outlineLevel="0" collapsed="false">
      <c r="A78" s="2" t="s">
        <v>108</v>
      </c>
      <c r="B78" s="2" t="s">
        <v>22</v>
      </c>
      <c r="C78" s="2" t="s">
        <v>23</v>
      </c>
      <c r="D78" s="3" t="n">
        <v>13733.19</v>
      </c>
      <c r="E78" s="2" t="n">
        <v>2604</v>
      </c>
      <c r="F78" s="2" t="n">
        <v>119</v>
      </c>
      <c r="G78" s="3" t="n">
        <v>0</v>
      </c>
      <c r="H78" s="2" t="n">
        <v>1.46</v>
      </c>
      <c r="I78" s="2" t="n">
        <v>0</v>
      </c>
      <c r="J78" s="2" t="s">
        <v>16</v>
      </c>
    </row>
    <row r="79" customFormat="false" ht="15" hidden="false" customHeight="false" outlineLevel="0" collapsed="false">
      <c r="A79" s="2" t="s">
        <v>109</v>
      </c>
      <c r="B79" s="2" t="s">
        <v>11</v>
      </c>
      <c r="C79" s="2" t="s">
        <v>12</v>
      </c>
      <c r="D79" s="3" t="n">
        <v>4470.73</v>
      </c>
      <c r="E79" s="2" t="n">
        <v>1439</v>
      </c>
      <c r="F79" s="2" t="n">
        <v>69</v>
      </c>
      <c r="G79" s="3" t="n">
        <v>15233.45</v>
      </c>
      <c r="H79" s="2" t="n">
        <v>8.54</v>
      </c>
      <c r="I79" s="2" t="n">
        <v>3.41</v>
      </c>
      <c r="J79" s="2" t="s">
        <v>79</v>
      </c>
    </row>
    <row r="80" customFormat="false" ht="15" hidden="false" customHeight="false" outlineLevel="0" collapsed="false">
      <c r="A80" s="2" t="s">
        <v>110</v>
      </c>
      <c r="B80" s="2" t="s">
        <v>30</v>
      </c>
      <c r="C80" s="2" t="s">
        <v>19</v>
      </c>
      <c r="D80" s="3" t="n">
        <v>13506.71</v>
      </c>
      <c r="E80" s="2" t="n">
        <v>1544</v>
      </c>
      <c r="F80" s="2" t="n">
        <v>0</v>
      </c>
      <c r="G80" s="3" t="n">
        <v>16958.7</v>
      </c>
      <c r="H80" s="2" t="n">
        <v>1.7</v>
      </c>
      <c r="I80" s="2" t="n">
        <v>1.26</v>
      </c>
      <c r="J80" s="2" t="s">
        <v>62</v>
      </c>
    </row>
    <row r="81" customFormat="false" ht="15" hidden="false" customHeight="false" outlineLevel="0" collapsed="false">
      <c r="A81" s="2" t="s">
        <v>111</v>
      </c>
      <c r="B81" s="2" t="s">
        <v>22</v>
      </c>
      <c r="C81" s="2" t="s">
        <v>15</v>
      </c>
      <c r="D81" s="3" t="n">
        <v>4030.03</v>
      </c>
      <c r="E81" s="2" t="n">
        <v>1087</v>
      </c>
      <c r="F81" s="2" t="n">
        <v>34</v>
      </c>
      <c r="G81" s="3" t="n">
        <v>38150.67</v>
      </c>
      <c r="H81" s="2" t="n">
        <v>3.05</v>
      </c>
      <c r="I81" s="2" t="n">
        <v>9.47</v>
      </c>
      <c r="J81" s="2" t="s">
        <v>62</v>
      </c>
    </row>
    <row r="82" customFormat="false" ht="15" hidden="false" customHeight="false" outlineLevel="0" collapsed="false">
      <c r="A82" s="2" t="s">
        <v>112</v>
      </c>
      <c r="B82" s="2" t="s">
        <v>18</v>
      </c>
      <c r="C82" s="2" t="s">
        <v>23</v>
      </c>
      <c r="D82" s="3" t="n">
        <v>7045.9</v>
      </c>
      <c r="E82" s="2" t="n">
        <v>2214</v>
      </c>
      <c r="F82" s="2" t="n">
        <v>80</v>
      </c>
      <c r="G82" s="3" t="n">
        <v>31481.77</v>
      </c>
      <c r="H82" s="2" t="n">
        <v>1.41</v>
      </c>
      <c r="I82" s="2" t="n">
        <v>4.47</v>
      </c>
      <c r="J82" s="2" t="s">
        <v>20</v>
      </c>
    </row>
    <row r="83" customFormat="false" ht="15" hidden="false" customHeight="false" outlineLevel="0" collapsed="false">
      <c r="A83" s="2" t="s">
        <v>113</v>
      </c>
      <c r="B83" s="2" t="s">
        <v>30</v>
      </c>
      <c r="C83" s="2" t="s">
        <v>12</v>
      </c>
      <c r="D83" s="3" t="n">
        <v>6848.28</v>
      </c>
      <c r="E83" s="2" t="n">
        <v>313</v>
      </c>
      <c r="F83" s="2" t="n">
        <v>0</v>
      </c>
      <c r="G83" s="3" t="n">
        <v>34691.61</v>
      </c>
      <c r="H83" s="2" t="n">
        <v>0.19</v>
      </c>
      <c r="I83" s="2" t="n">
        <v>5.07</v>
      </c>
      <c r="J83" s="2" t="s">
        <v>26</v>
      </c>
    </row>
    <row r="84" customFormat="false" ht="15" hidden="false" customHeight="false" outlineLevel="0" collapsed="false">
      <c r="A84" s="2" t="s">
        <v>114</v>
      </c>
      <c r="B84" s="2" t="s">
        <v>30</v>
      </c>
      <c r="C84" s="2" t="s">
        <v>38</v>
      </c>
      <c r="D84" s="3" t="n">
        <v>12705.36</v>
      </c>
      <c r="E84" s="2" t="n">
        <v>1417</v>
      </c>
      <c r="F84" s="2" t="n">
        <v>26</v>
      </c>
      <c r="G84" s="3" t="n">
        <v>26418.67</v>
      </c>
      <c r="H84" s="2" t="n">
        <v>2.34</v>
      </c>
      <c r="I84" s="2" t="n">
        <v>2.08</v>
      </c>
      <c r="J84" s="2" t="s">
        <v>79</v>
      </c>
    </row>
    <row r="85" customFormat="false" ht="15" hidden="false" customHeight="false" outlineLevel="0" collapsed="false">
      <c r="A85" s="2" t="s">
        <v>115</v>
      </c>
      <c r="B85" s="2" t="s">
        <v>30</v>
      </c>
      <c r="C85" s="2" t="s">
        <v>33</v>
      </c>
      <c r="D85" s="3" t="n">
        <v>11118.95</v>
      </c>
      <c r="E85" s="2" t="n">
        <v>621</v>
      </c>
      <c r="F85" s="2" t="n">
        <v>28</v>
      </c>
      <c r="G85" s="3" t="n">
        <v>37732.26</v>
      </c>
      <c r="H85" s="2"/>
      <c r="I85" s="2" t="n">
        <v>3.39</v>
      </c>
      <c r="J85" s="2" t="s">
        <v>81</v>
      </c>
    </row>
    <row r="86" customFormat="false" ht="15" hidden="false" customHeight="false" outlineLevel="0" collapsed="false">
      <c r="A86" s="2" t="s">
        <v>116</v>
      </c>
      <c r="B86" s="2" t="s">
        <v>18</v>
      </c>
      <c r="C86" s="2" t="s">
        <v>23</v>
      </c>
      <c r="D86" s="3" t="n">
        <v>6432.54</v>
      </c>
      <c r="E86" s="2" t="n">
        <v>134</v>
      </c>
      <c r="F86" s="2" t="n">
        <v>64</v>
      </c>
      <c r="G86" s="3" t="n">
        <v>6324.3</v>
      </c>
      <c r="H86" s="2" t="n">
        <v>0.24</v>
      </c>
      <c r="I86" s="2" t="n">
        <v>0.98</v>
      </c>
      <c r="J86" s="2" t="s">
        <v>48</v>
      </c>
    </row>
    <row r="87" customFormat="false" ht="15" hidden="false" customHeight="false" outlineLevel="0" collapsed="false">
      <c r="A87" s="2" t="s">
        <v>117</v>
      </c>
      <c r="B87" s="2" t="s">
        <v>22</v>
      </c>
      <c r="C87" s="2" t="s">
        <v>19</v>
      </c>
      <c r="D87" s="3" t="n">
        <v>13765.82</v>
      </c>
      <c r="E87" s="2" t="n">
        <v>1369</v>
      </c>
      <c r="F87" s="2" t="n">
        <v>147</v>
      </c>
      <c r="G87" s="3" t="n">
        <v>38104.72</v>
      </c>
      <c r="H87" s="2" t="n">
        <v>0.75</v>
      </c>
      <c r="I87" s="2" t="n">
        <v>2.77</v>
      </c>
      <c r="J87" s="2" t="s">
        <v>13</v>
      </c>
    </row>
    <row r="88" customFormat="false" ht="15" hidden="false" customHeight="false" outlineLevel="0" collapsed="false">
      <c r="A88" s="2" t="s">
        <v>118</v>
      </c>
      <c r="B88" s="2" t="s">
        <v>22</v>
      </c>
      <c r="C88" s="2" t="s">
        <v>33</v>
      </c>
      <c r="D88" s="3" t="n">
        <v>12146.63</v>
      </c>
      <c r="E88" s="2" t="n">
        <v>257</v>
      </c>
      <c r="F88" s="2" t="n">
        <v>116</v>
      </c>
      <c r="G88" s="3" t="n">
        <v>21679.63</v>
      </c>
      <c r="H88" s="2" t="n">
        <v>1.85</v>
      </c>
      <c r="I88" s="2" t="n">
        <v>1.78</v>
      </c>
      <c r="J88" s="2" t="s">
        <v>31</v>
      </c>
    </row>
    <row r="89" customFormat="false" ht="15" hidden="false" customHeight="false" outlineLevel="0" collapsed="false">
      <c r="A89" s="2" t="s">
        <v>119</v>
      </c>
      <c r="B89" s="2" t="s">
        <v>22</v>
      </c>
      <c r="C89" s="2" t="s">
        <v>19</v>
      </c>
      <c r="D89" s="3" t="n">
        <v>10797</v>
      </c>
      <c r="E89" s="2" t="n">
        <v>2258</v>
      </c>
      <c r="F89" s="2" t="n">
        <v>117</v>
      </c>
      <c r="G89" s="3" t="n">
        <v>20882.74</v>
      </c>
      <c r="H89" s="2"/>
      <c r="I89" s="2" t="n">
        <v>1.93</v>
      </c>
      <c r="J89" s="2" t="s">
        <v>48</v>
      </c>
    </row>
    <row r="90" customFormat="false" ht="15" hidden="false" customHeight="false" outlineLevel="0" collapsed="false">
      <c r="A90" s="2" t="s">
        <v>120</v>
      </c>
      <c r="B90" s="2" t="s">
        <v>18</v>
      </c>
      <c r="C90" s="2" t="s">
        <v>23</v>
      </c>
      <c r="D90" s="3" t="n">
        <v>7758.17</v>
      </c>
      <c r="E90" s="2" t="n">
        <v>700</v>
      </c>
      <c r="F90" s="2" t="n">
        <v>93</v>
      </c>
      <c r="G90" s="3" t="n">
        <v>11529.94</v>
      </c>
      <c r="H90" s="2" t="n">
        <v>1.08</v>
      </c>
      <c r="I90" s="2" t="n">
        <v>1.49</v>
      </c>
      <c r="J90" s="2" t="s">
        <v>16</v>
      </c>
    </row>
    <row r="91" customFormat="false" ht="15" hidden="false" customHeight="false" outlineLevel="0" collapsed="false">
      <c r="A91" s="2" t="s">
        <v>121</v>
      </c>
      <c r="B91" s="2" t="s">
        <v>30</v>
      </c>
      <c r="C91" s="2" t="s">
        <v>15</v>
      </c>
      <c r="D91" s="3" t="n">
        <v>5021.98</v>
      </c>
      <c r="E91" s="2" t="n">
        <v>2606</v>
      </c>
      <c r="F91" s="2" t="n">
        <v>43</v>
      </c>
      <c r="G91" s="3" t="n">
        <v>12710.28</v>
      </c>
      <c r="H91" s="2" t="n">
        <v>1.62</v>
      </c>
      <c r="I91" s="2" t="n">
        <v>2.53</v>
      </c>
      <c r="J91" s="2" t="s">
        <v>16</v>
      </c>
    </row>
    <row r="92" customFormat="false" ht="15" hidden="false" customHeight="false" outlineLevel="0" collapsed="false">
      <c r="A92" s="2" t="s">
        <v>122</v>
      </c>
      <c r="B92" s="2" t="s">
        <v>47</v>
      </c>
      <c r="C92" s="2" t="s">
        <v>12</v>
      </c>
      <c r="D92" s="3" t="n">
        <v>8144</v>
      </c>
      <c r="E92" s="2" t="n">
        <v>2085</v>
      </c>
      <c r="F92" s="2" t="n">
        <v>46</v>
      </c>
      <c r="G92" s="3" t="n">
        <v>25319.3</v>
      </c>
      <c r="H92" s="2" t="n">
        <v>10.83</v>
      </c>
      <c r="I92" s="2" t="n">
        <v>3.11</v>
      </c>
      <c r="J92" s="2" t="s">
        <v>16</v>
      </c>
    </row>
    <row r="93" customFormat="false" ht="15" hidden="false" customHeight="false" outlineLevel="0" collapsed="false">
      <c r="A93" s="2" t="s">
        <v>123</v>
      </c>
      <c r="B93" s="2" t="s">
        <v>30</v>
      </c>
      <c r="C93" s="2" t="s">
        <v>15</v>
      </c>
      <c r="D93" s="3" t="n">
        <v>9208.28</v>
      </c>
      <c r="E93" s="2" t="n">
        <v>2232</v>
      </c>
      <c r="F93" s="2" t="n">
        <v>0</v>
      </c>
      <c r="G93" s="3" t="n">
        <v>20763.03</v>
      </c>
      <c r="H93" s="2" t="n">
        <v>1.98</v>
      </c>
      <c r="I93" s="2" t="n">
        <v>2.25</v>
      </c>
      <c r="J93" s="2" t="s">
        <v>31</v>
      </c>
    </row>
    <row r="94" customFormat="false" ht="15" hidden="false" customHeight="false" outlineLevel="0" collapsed="false">
      <c r="A94" s="2" t="s">
        <v>124</v>
      </c>
      <c r="B94" s="2" t="s">
        <v>30</v>
      </c>
      <c r="C94" s="2" t="s">
        <v>15</v>
      </c>
      <c r="D94" s="3" t="n">
        <v>3042.98</v>
      </c>
      <c r="E94" s="2" t="n">
        <v>1817</v>
      </c>
      <c r="F94" s="2" t="n">
        <v>0</v>
      </c>
      <c r="G94" s="3" t="n">
        <v>27820.72</v>
      </c>
      <c r="H94" s="2" t="n">
        <v>2.37</v>
      </c>
      <c r="I94" s="2" t="n">
        <v>9.14</v>
      </c>
      <c r="J94" s="2" t="s">
        <v>79</v>
      </c>
    </row>
    <row r="95" customFormat="false" ht="15" hidden="false" customHeight="false" outlineLevel="0" collapsed="false">
      <c r="A95" s="2" t="s">
        <v>125</v>
      </c>
      <c r="B95" s="2" t="s">
        <v>18</v>
      </c>
      <c r="C95" s="2" t="s">
        <v>12</v>
      </c>
      <c r="D95" s="3" t="n">
        <v>2319.4</v>
      </c>
      <c r="E95" s="2" t="n">
        <v>1509</v>
      </c>
      <c r="F95" s="2" t="n">
        <v>120</v>
      </c>
      <c r="G95" s="3" t="n">
        <v>39440.01</v>
      </c>
      <c r="H95" s="2" t="n">
        <v>1.73</v>
      </c>
      <c r="I95" s="2" t="n">
        <v>17</v>
      </c>
      <c r="J95" s="2" t="s">
        <v>31</v>
      </c>
    </row>
    <row r="96" customFormat="false" ht="15" hidden="false" customHeight="false" outlineLevel="0" collapsed="false">
      <c r="A96" s="2" t="s">
        <v>126</v>
      </c>
      <c r="B96" s="2" t="s">
        <v>22</v>
      </c>
      <c r="C96" s="2" t="s">
        <v>19</v>
      </c>
      <c r="D96" s="3" t="n">
        <v>14241.83</v>
      </c>
      <c r="E96" s="2" t="n">
        <v>2434</v>
      </c>
      <c r="F96" s="2" t="n">
        <v>11</v>
      </c>
      <c r="G96" s="3" t="n">
        <v>10906.94</v>
      </c>
      <c r="H96" s="2" t="n">
        <v>1.32</v>
      </c>
      <c r="I96" s="2" t="n">
        <v>0.77</v>
      </c>
      <c r="J96" s="2" t="s">
        <v>20</v>
      </c>
    </row>
    <row r="97" customFormat="false" ht="15" hidden="false" customHeight="false" outlineLevel="0" collapsed="false">
      <c r="A97" s="2" t="s">
        <v>127</v>
      </c>
      <c r="B97" s="2" t="s">
        <v>30</v>
      </c>
      <c r="C97" s="2" t="s">
        <v>38</v>
      </c>
      <c r="D97" s="3" t="n">
        <v>5101.76</v>
      </c>
      <c r="E97" s="2" t="n">
        <v>536</v>
      </c>
      <c r="F97" s="2" t="n">
        <v>30</v>
      </c>
      <c r="G97" s="3" t="n">
        <v>14599.85</v>
      </c>
      <c r="H97" s="2" t="n">
        <v>0.55</v>
      </c>
      <c r="I97" s="2" t="n">
        <v>2.86</v>
      </c>
      <c r="J97" s="2" t="s">
        <v>48</v>
      </c>
    </row>
    <row r="98" customFormat="false" ht="15" hidden="false" customHeight="false" outlineLevel="0" collapsed="false">
      <c r="A98" s="2" t="s">
        <v>128</v>
      </c>
      <c r="B98" s="2" t="s">
        <v>30</v>
      </c>
      <c r="C98" s="2" t="s">
        <v>19</v>
      </c>
      <c r="D98" s="3" t="n">
        <v>5383.01</v>
      </c>
      <c r="E98" s="2" t="n">
        <v>1525</v>
      </c>
      <c r="F98" s="2" t="n">
        <v>67</v>
      </c>
      <c r="G98" s="3" t="n">
        <v>18636.3</v>
      </c>
      <c r="H98" s="2"/>
      <c r="I98" s="2" t="n">
        <v>3.46</v>
      </c>
      <c r="J98" s="2" t="s">
        <v>48</v>
      </c>
    </row>
    <row r="99" customFormat="false" ht="15" hidden="false" customHeight="false" outlineLevel="0" collapsed="false">
      <c r="A99" s="2" t="s">
        <v>129</v>
      </c>
      <c r="B99" s="2" t="s">
        <v>18</v>
      </c>
      <c r="C99" s="2" t="s">
        <v>19</v>
      </c>
      <c r="D99" s="3" t="n">
        <v>8992.91</v>
      </c>
      <c r="E99" s="2" t="n">
        <v>1081</v>
      </c>
      <c r="F99" s="2" t="n">
        <v>110</v>
      </c>
      <c r="G99" s="3" t="n">
        <v>1694.02</v>
      </c>
      <c r="H99" s="2" t="n">
        <v>4.3</v>
      </c>
      <c r="I99" s="2" t="n">
        <v>0.19</v>
      </c>
      <c r="J99" s="2" t="s">
        <v>13</v>
      </c>
    </row>
    <row r="100" customFormat="false" ht="15" hidden="false" customHeight="false" outlineLevel="0" collapsed="false">
      <c r="A100" s="2" t="s">
        <v>130</v>
      </c>
      <c r="B100" s="2" t="s">
        <v>18</v>
      </c>
      <c r="C100" s="2" t="s">
        <v>19</v>
      </c>
      <c r="D100" s="3" t="n">
        <v>9865.55</v>
      </c>
      <c r="E100" s="2" t="n">
        <v>1080</v>
      </c>
      <c r="F100" s="2" t="n">
        <v>27</v>
      </c>
      <c r="G100" s="3" t="n">
        <v>0</v>
      </c>
      <c r="H100" s="2" t="n">
        <v>1.62</v>
      </c>
      <c r="I100" s="2" t="n">
        <v>0</v>
      </c>
      <c r="J100" s="2" t="s">
        <v>62</v>
      </c>
    </row>
    <row r="101" customFormat="false" ht="15" hidden="false" customHeight="false" outlineLevel="0" collapsed="false">
      <c r="A101" s="2" t="s">
        <v>131</v>
      </c>
      <c r="B101" s="2" t="s">
        <v>18</v>
      </c>
      <c r="C101" s="2" t="s">
        <v>23</v>
      </c>
      <c r="D101" s="3" t="n">
        <v>8394.47</v>
      </c>
      <c r="E101" s="2" t="n">
        <v>2547</v>
      </c>
      <c r="F101" s="2" t="n">
        <v>94</v>
      </c>
      <c r="G101" s="3" t="n">
        <v>14975.79</v>
      </c>
      <c r="H101" s="2" t="n">
        <v>1.36</v>
      </c>
      <c r="I101" s="2" t="n">
        <v>1.78</v>
      </c>
      <c r="J101" s="2" t="s">
        <v>20</v>
      </c>
    </row>
    <row r="102" customFormat="false" ht="15" hidden="false" customHeight="false" outlineLevel="0" collapsed="false">
      <c r="A102" s="2" t="s">
        <v>132</v>
      </c>
      <c r="B102" s="2" t="s">
        <v>11</v>
      </c>
      <c r="C102" s="2" t="s">
        <v>12</v>
      </c>
      <c r="D102" s="3" t="n">
        <v>2309.29</v>
      </c>
      <c r="E102" s="2" t="n">
        <v>866</v>
      </c>
      <c r="F102" s="2" t="n">
        <v>145</v>
      </c>
      <c r="G102" s="3" t="n">
        <v>3026.34</v>
      </c>
      <c r="H102" s="2" t="n">
        <v>0.64</v>
      </c>
      <c r="I102" s="2" t="n">
        <v>1.31</v>
      </c>
      <c r="J102" s="2" t="s">
        <v>62</v>
      </c>
    </row>
    <row r="103" customFormat="false" ht="15" hidden="false" customHeight="false" outlineLevel="0" collapsed="false">
      <c r="A103" s="2" t="s">
        <v>133</v>
      </c>
      <c r="B103" s="2" t="s">
        <v>11</v>
      </c>
      <c r="C103" s="2" t="s">
        <v>15</v>
      </c>
      <c r="D103" s="3" t="n">
        <v>11464.13</v>
      </c>
      <c r="E103" s="2" t="n">
        <v>2108</v>
      </c>
      <c r="F103" s="2" t="n">
        <v>96</v>
      </c>
      <c r="G103" s="3" t="n">
        <v>34227.63</v>
      </c>
      <c r="H103" s="2" t="n">
        <v>15.27</v>
      </c>
      <c r="I103" s="2" t="n">
        <v>2.99</v>
      </c>
      <c r="J103" s="2" t="s">
        <v>24</v>
      </c>
    </row>
    <row r="104" customFormat="false" ht="15" hidden="false" customHeight="false" outlineLevel="0" collapsed="false">
      <c r="A104" s="2" t="s">
        <v>134</v>
      </c>
      <c r="B104" s="2" t="s">
        <v>22</v>
      </c>
      <c r="C104" s="2" t="s">
        <v>19</v>
      </c>
      <c r="D104" s="3" t="n">
        <v>13285.74</v>
      </c>
      <c r="E104" s="2" t="n">
        <v>1912</v>
      </c>
      <c r="F104" s="2" t="n">
        <v>60</v>
      </c>
      <c r="G104" s="3" t="n">
        <v>1818.67</v>
      </c>
      <c r="H104" s="2" t="n">
        <v>1.15</v>
      </c>
      <c r="I104" s="2" t="n">
        <v>0.14</v>
      </c>
      <c r="J104" s="2" t="s">
        <v>16</v>
      </c>
    </row>
    <row r="105" customFormat="false" ht="15" hidden="false" customHeight="false" outlineLevel="0" collapsed="false">
      <c r="A105" s="2" t="s">
        <v>135</v>
      </c>
      <c r="B105" s="2" t="s">
        <v>30</v>
      </c>
      <c r="C105" s="2" t="s">
        <v>38</v>
      </c>
      <c r="D105" s="3" t="n">
        <v>3049.28</v>
      </c>
      <c r="E105" s="2" t="n">
        <v>2642</v>
      </c>
      <c r="F105" s="2" t="n">
        <v>103</v>
      </c>
      <c r="G105" s="3" t="n">
        <v>0</v>
      </c>
      <c r="H105" s="2" t="n">
        <v>10.6</v>
      </c>
      <c r="I105" s="2" t="n">
        <v>0</v>
      </c>
      <c r="J105" s="2" t="s">
        <v>31</v>
      </c>
    </row>
    <row r="106" customFormat="false" ht="15" hidden="false" customHeight="false" outlineLevel="0" collapsed="false">
      <c r="A106" s="2" t="s">
        <v>136</v>
      </c>
      <c r="B106" s="2" t="s">
        <v>30</v>
      </c>
      <c r="C106" s="2" t="s">
        <v>38</v>
      </c>
      <c r="D106" s="3" t="n">
        <v>5410.2</v>
      </c>
      <c r="E106" s="2" t="n">
        <v>2295</v>
      </c>
      <c r="F106" s="2" t="n">
        <v>3</v>
      </c>
      <c r="G106" s="3" t="n">
        <v>37598.05</v>
      </c>
      <c r="H106" s="2" t="n">
        <v>1.62</v>
      </c>
      <c r="I106" s="2" t="n">
        <v>6.95</v>
      </c>
      <c r="J106" s="2" t="s">
        <v>24</v>
      </c>
    </row>
    <row r="107" customFormat="false" ht="15" hidden="false" customHeight="false" outlineLevel="0" collapsed="false">
      <c r="A107" s="2" t="s">
        <v>137</v>
      </c>
      <c r="B107" s="2" t="s">
        <v>22</v>
      </c>
      <c r="C107" s="2" t="s">
        <v>33</v>
      </c>
      <c r="D107" s="3" t="n">
        <v>14782.28</v>
      </c>
      <c r="E107" s="2" t="n">
        <v>2242</v>
      </c>
      <c r="F107" s="2" t="n">
        <v>113</v>
      </c>
      <c r="G107" s="3" t="n">
        <v>0</v>
      </c>
      <c r="H107" s="2" t="n">
        <v>1.86</v>
      </c>
      <c r="I107" s="2" t="n">
        <v>0</v>
      </c>
      <c r="J107" s="2" t="s">
        <v>48</v>
      </c>
    </row>
    <row r="108" customFormat="false" ht="15" hidden="false" customHeight="false" outlineLevel="0" collapsed="false">
      <c r="A108" s="2" t="s">
        <v>138</v>
      </c>
      <c r="B108" s="2" t="s">
        <v>30</v>
      </c>
      <c r="C108" s="2" t="s">
        <v>15</v>
      </c>
      <c r="D108" s="3" t="n">
        <v>14485.98</v>
      </c>
      <c r="E108" s="2" t="n">
        <v>2425</v>
      </c>
      <c r="F108" s="2" t="n">
        <v>128</v>
      </c>
      <c r="G108" s="3" t="n">
        <v>11300.14</v>
      </c>
      <c r="H108" s="2" t="n">
        <v>1.82</v>
      </c>
      <c r="I108" s="2" t="n">
        <v>0.78</v>
      </c>
      <c r="J108" s="2" t="s">
        <v>79</v>
      </c>
    </row>
    <row r="109" customFormat="false" ht="15" hidden="false" customHeight="false" outlineLevel="0" collapsed="false">
      <c r="A109" s="2" t="s">
        <v>139</v>
      </c>
      <c r="B109" s="2" t="s">
        <v>11</v>
      </c>
      <c r="C109" s="2" t="s">
        <v>23</v>
      </c>
      <c r="D109" s="3" t="n">
        <v>14524.16</v>
      </c>
      <c r="E109" s="2" t="n">
        <v>2422</v>
      </c>
      <c r="F109" s="2" t="n">
        <v>54</v>
      </c>
      <c r="G109" s="3" t="n">
        <v>32904.76</v>
      </c>
      <c r="H109" s="2" t="n">
        <v>1.31</v>
      </c>
      <c r="I109" s="2" t="n">
        <v>2.27</v>
      </c>
      <c r="J109" s="2" t="s">
        <v>13</v>
      </c>
    </row>
    <row r="110" customFormat="false" ht="15" hidden="false" customHeight="false" outlineLevel="0" collapsed="false">
      <c r="A110" s="2" t="s">
        <v>140</v>
      </c>
      <c r="B110" s="2" t="s">
        <v>11</v>
      </c>
      <c r="C110" s="2" t="s">
        <v>33</v>
      </c>
      <c r="D110" s="3" t="n">
        <v>10181.57</v>
      </c>
      <c r="E110" s="2" t="n">
        <v>747</v>
      </c>
      <c r="F110" s="2" t="n">
        <v>9</v>
      </c>
      <c r="G110" s="3" t="n">
        <v>21270.12</v>
      </c>
      <c r="H110" s="2" t="n">
        <v>0.88</v>
      </c>
      <c r="I110" s="2" t="n">
        <v>2.09</v>
      </c>
      <c r="J110" s="2" t="s">
        <v>13</v>
      </c>
    </row>
    <row r="111" customFormat="false" ht="15" hidden="false" customHeight="false" outlineLevel="0" collapsed="false">
      <c r="A111" s="2" t="s">
        <v>141</v>
      </c>
      <c r="B111" s="2" t="s">
        <v>47</v>
      </c>
      <c r="C111" s="2" t="s">
        <v>12</v>
      </c>
      <c r="D111" s="3" t="n">
        <v>10142.8</v>
      </c>
      <c r="E111" s="2" t="n">
        <v>1532</v>
      </c>
      <c r="F111" s="2" t="n">
        <v>79</v>
      </c>
      <c r="G111" s="3" t="n">
        <v>6126.71</v>
      </c>
      <c r="H111" s="2" t="n">
        <v>0.82</v>
      </c>
      <c r="I111" s="2" t="n">
        <v>0.6</v>
      </c>
      <c r="J111" s="2" t="s">
        <v>20</v>
      </c>
    </row>
    <row r="112" customFormat="false" ht="15" hidden="false" customHeight="false" outlineLevel="0" collapsed="false">
      <c r="A112" s="2" t="s">
        <v>142</v>
      </c>
      <c r="B112" s="2" t="s">
        <v>11</v>
      </c>
      <c r="C112" s="2" t="s">
        <v>15</v>
      </c>
      <c r="D112" s="3" t="n">
        <v>14394.46</v>
      </c>
      <c r="E112" s="2" t="n">
        <v>2928</v>
      </c>
      <c r="F112" s="2" t="n">
        <v>31</v>
      </c>
      <c r="G112" s="3" t="n">
        <v>25064.13</v>
      </c>
      <c r="H112" s="2" t="n">
        <v>5.48</v>
      </c>
      <c r="I112" s="2" t="n">
        <v>1.74</v>
      </c>
      <c r="J112" s="2" t="s">
        <v>13</v>
      </c>
    </row>
    <row r="113" customFormat="false" ht="15" hidden="false" customHeight="false" outlineLevel="0" collapsed="false">
      <c r="A113" s="2" t="s">
        <v>143</v>
      </c>
      <c r="B113" s="2" t="s">
        <v>30</v>
      </c>
      <c r="C113" s="2" t="s">
        <v>12</v>
      </c>
      <c r="D113" s="3" t="n">
        <v>13103.37</v>
      </c>
      <c r="E113" s="2" t="n">
        <v>2736</v>
      </c>
      <c r="F113" s="2" t="n">
        <v>119</v>
      </c>
      <c r="G113" s="3" t="n">
        <v>0</v>
      </c>
      <c r="H113" s="2" t="n">
        <v>2.2</v>
      </c>
      <c r="I113" s="2" t="n">
        <v>0</v>
      </c>
      <c r="J113" s="2" t="s">
        <v>16</v>
      </c>
    </row>
    <row r="114" customFormat="false" ht="15" hidden="false" customHeight="false" outlineLevel="0" collapsed="false">
      <c r="A114" s="2" t="s">
        <v>144</v>
      </c>
      <c r="B114" s="2" t="s">
        <v>22</v>
      </c>
      <c r="C114" s="2" t="s">
        <v>38</v>
      </c>
      <c r="D114" s="3" t="n">
        <v>10564</v>
      </c>
      <c r="E114" s="2" t="n">
        <v>2058</v>
      </c>
      <c r="F114" s="2" t="n">
        <v>63</v>
      </c>
      <c r="G114" s="3" t="n">
        <v>2334.84</v>
      </c>
      <c r="H114" s="2" t="n">
        <v>16.49</v>
      </c>
      <c r="I114" s="2" t="n">
        <v>0.22</v>
      </c>
      <c r="J114" s="2" t="s">
        <v>20</v>
      </c>
    </row>
    <row r="115" customFormat="false" ht="15" hidden="false" customHeight="false" outlineLevel="0" collapsed="false">
      <c r="A115" s="2" t="s">
        <v>145</v>
      </c>
      <c r="B115" s="2" t="s">
        <v>30</v>
      </c>
      <c r="C115" s="2" t="s">
        <v>33</v>
      </c>
      <c r="D115" s="3" t="n">
        <v>11431.94</v>
      </c>
      <c r="E115" s="2" t="n">
        <v>2715</v>
      </c>
      <c r="F115" s="2" t="n">
        <v>146</v>
      </c>
      <c r="G115" s="3" t="n">
        <v>18060.47</v>
      </c>
      <c r="H115" s="2"/>
      <c r="I115" s="2" t="n">
        <v>1.58</v>
      </c>
      <c r="J115" s="2" t="s">
        <v>26</v>
      </c>
    </row>
    <row r="116" customFormat="false" ht="15" hidden="false" customHeight="false" outlineLevel="0" collapsed="false">
      <c r="A116" s="2" t="s">
        <v>146</v>
      </c>
      <c r="B116" s="2" t="s">
        <v>30</v>
      </c>
      <c r="C116" s="2" t="s">
        <v>15</v>
      </c>
      <c r="D116" s="3" t="n">
        <v>2076.47</v>
      </c>
      <c r="E116" s="2" t="n">
        <v>2040</v>
      </c>
      <c r="F116" s="2" t="n">
        <v>112</v>
      </c>
      <c r="G116" s="3" t="n">
        <v>8676.43</v>
      </c>
      <c r="H116" s="2" t="n">
        <v>6.35</v>
      </c>
      <c r="I116" s="2" t="n">
        <v>4.18</v>
      </c>
      <c r="J116" s="2" t="s">
        <v>16</v>
      </c>
    </row>
    <row r="117" customFormat="false" ht="15" hidden="false" customHeight="false" outlineLevel="0" collapsed="false">
      <c r="A117" s="2" t="s">
        <v>147</v>
      </c>
      <c r="B117" s="2" t="s">
        <v>11</v>
      </c>
      <c r="C117" s="2" t="s">
        <v>23</v>
      </c>
      <c r="D117" s="3" t="n">
        <v>12604.38</v>
      </c>
      <c r="E117" s="2" t="n">
        <v>2180</v>
      </c>
      <c r="F117" s="2" t="n">
        <v>65</v>
      </c>
      <c r="G117" s="3" t="n">
        <v>3411.56</v>
      </c>
      <c r="H117" s="2" t="n">
        <v>2.21</v>
      </c>
      <c r="I117" s="2" t="n">
        <v>0.27</v>
      </c>
      <c r="J117" s="2" t="s">
        <v>13</v>
      </c>
    </row>
    <row r="118" customFormat="false" ht="15" hidden="false" customHeight="false" outlineLevel="0" collapsed="false">
      <c r="A118" s="2" t="s">
        <v>148</v>
      </c>
      <c r="B118" s="2" t="s">
        <v>30</v>
      </c>
      <c r="C118" s="2" t="s">
        <v>33</v>
      </c>
      <c r="D118" s="3" t="n">
        <v>11825.85</v>
      </c>
      <c r="E118" s="2" t="n">
        <v>1582</v>
      </c>
      <c r="F118" s="2" t="n">
        <v>131</v>
      </c>
      <c r="G118" s="3" t="n">
        <v>15396.06</v>
      </c>
      <c r="H118" s="2" t="n">
        <v>1.44</v>
      </c>
      <c r="I118" s="2" t="n">
        <v>1.3</v>
      </c>
      <c r="J118" s="2" t="s">
        <v>48</v>
      </c>
    </row>
    <row r="119" customFormat="false" ht="15" hidden="false" customHeight="false" outlineLevel="0" collapsed="false">
      <c r="A119" s="2" t="s">
        <v>149</v>
      </c>
      <c r="B119" s="2" t="s">
        <v>47</v>
      </c>
      <c r="C119" s="2" t="s">
        <v>23</v>
      </c>
      <c r="D119" s="3" t="n">
        <v>9915.53</v>
      </c>
      <c r="E119" s="2" t="n">
        <v>245</v>
      </c>
      <c r="F119" s="2" t="n">
        <v>54</v>
      </c>
      <c r="G119" s="3" t="n">
        <v>1979.95</v>
      </c>
      <c r="H119" s="2" t="n">
        <v>0.13</v>
      </c>
      <c r="I119" s="2" t="n">
        <v>0.2</v>
      </c>
      <c r="J119" s="2" t="s">
        <v>26</v>
      </c>
    </row>
    <row r="120" customFormat="false" ht="15" hidden="false" customHeight="false" outlineLevel="0" collapsed="false">
      <c r="A120" s="2" t="s">
        <v>150</v>
      </c>
      <c r="B120" s="2" t="s">
        <v>22</v>
      </c>
      <c r="C120" s="2" t="s">
        <v>23</v>
      </c>
      <c r="D120" s="3" t="n">
        <v>9200.02</v>
      </c>
      <c r="E120" s="2" t="n">
        <v>2246</v>
      </c>
      <c r="F120" s="2" t="n">
        <v>9</v>
      </c>
      <c r="G120" s="3" t="n">
        <v>199.74</v>
      </c>
      <c r="H120" s="2" t="n">
        <v>1.84</v>
      </c>
      <c r="I120" s="2" t="n">
        <v>0.02</v>
      </c>
      <c r="J120" s="2" t="s">
        <v>16</v>
      </c>
    </row>
    <row r="121" customFormat="false" ht="15" hidden="false" customHeight="false" outlineLevel="0" collapsed="false">
      <c r="A121" s="2" t="s">
        <v>151</v>
      </c>
      <c r="B121" s="2" t="s">
        <v>30</v>
      </c>
      <c r="C121" s="2" t="s">
        <v>12</v>
      </c>
      <c r="D121" s="3" t="n">
        <v>3844.59</v>
      </c>
      <c r="E121" s="2" t="n">
        <v>2667</v>
      </c>
      <c r="F121" s="2" t="n">
        <v>134</v>
      </c>
      <c r="G121" s="3" t="n">
        <v>12057.01</v>
      </c>
      <c r="H121" s="2" t="n">
        <v>2.85</v>
      </c>
      <c r="I121" s="2" t="n">
        <v>3.14</v>
      </c>
      <c r="J121" s="2" t="s">
        <v>48</v>
      </c>
    </row>
    <row r="122" customFormat="false" ht="15" hidden="false" customHeight="false" outlineLevel="0" collapsed="false">
      <c r="A122" s="2" t="s">
        <v>152</v>
      </c>
      <c r="B122" s="2" t="s">
        <v>22</v>
      </c>
      <c r="C122" s="2" t="s">
        <v>23</v>
      </c>
      <c r="D122" s="3" t="n">
        <v>669.94</v>
      </c>
      <c r="E122" s="2" t="n">
        <v>1601</v>
      </c>
      <c r="F122" s="2" t="n">
        <v>0</v>
      </c>
      <c r="G122" s="3" t="n">
        <v>6687.07</v>
      </c>
      <c r="H122" s="2" t="n">
        <v>0.88</v>
      </c>
      <c r="I122" s="2" t="n">
        <v>9.98</v>
      </c>
      <c r="J122" s="2" t="s">
        <v>16</v>
      </c>
    </row>
    <row r="123" customFormat="false" ht="15" hidden="false" customHeight="false" outlineLevel="0" collapsed="false">
      <c r="A123" s="2" t="s">
        <v>153</v>
      </c>
      <c r="B123" s="2" t="s">
        <v>18</v>
      </c>
      <c r="C123" s="2" t="s">
        <v>12</v>
      </c>
      <c r="D123" s="3" t="n">
        <v>4523.77</v>
      </c>
      <c r="E123" s="2" t="n">
        <v>1972</v>
      </c>
      <c r="F123" s="2" t="n">
        <v>47</v>
      </c>
      <c r="G123" s="3" t="n">
        <v>896.98</v>
      </c>
      <c r="H123" s="2" t="n">
        <v>4.5</v>
      </c>
      <c r="I123" s="2" t="n">
        <v>0.2</v>
      </c>
      <c r="J123" s="2" t="s">
        <v>48</v>
      </c>
    </row>
    <row r="124" customFormat="false" ht="15" hidden="false" customHeight="false" outlineLevel="0" collapsed="false">
      <c r="A124" s="2" t="s">
        <v>154</v>
      </c>
      <c r="B124" s="2" t="s">
        <v>22</v>
      </c>
      <c r="C124" s="2" t="s">
        <v>19</v>
      </c>
      <c r="D124" s="3" t="n">
        <v>9620.43</v>
      </c>
      <c r="E124" s="2" t="n">
        <v>1879</v>
      </c>
      <c r="F124" s="2" t="n">
        <v>145</v>
      </c>
      <c r="G124" s="3" t="n">
        <v>6894.4</v>
      </c>
      <c r="H124" s="2" t="n">
        <v>1.03</v>
      </c>
      <c r="I124" s="2" t="n">
        <v>0.72</v>
      </c>
      <c r="J124" s="2" t="s">
        <v>16</v>
      </c>
    </row>
    <row r="125" customFormat="false" ht="15" hidden="false" customHeight="false" outlineLevel="0" collapsed="false">
      <c r="A125" s="2" t="s">
        <v>155</v>
      </c>
      <c r="B125" s="2" t="s">
        <v>47</v>
      </c>
      <c r="C125" s="2" t="s">
        <v>33</v>
      </c>
      <c r="D125" s="3" t="n">
        <v>10749.64</v>
      </c>
      <c r="E125" s="2" t="n">
        <v>243</v>
      </c>
      <c r="F125" s="2" t="n">
        <v>35</v>
      </c>
      <c r="G125" s="3" t="n">
        <v>0</v>
      </c>
      <c r="H125" s="2" t="n">
        <v>0.16</v>
      </c>
      <c r="I125" s="2" t="n">
        <v>0</v>
      </c>
      <c r="J125" s="2" t="s">
        <v>13</v>
      </c>
    </row>
    <row r="126" customFormat="false" ht="15" hidden="false" customHeight="false" outlineLevel="0" collapsed="false">
      <c r="A126" s="2" t="s">
        <v>156</v>
      </c>
      <c r="B126" s="2" t="s">
        <v>11</v>
      </c>
      <c r="C126" s="2" t="s">
        <v>12</v>
      </c>
      <c r="D126" s="3" t="n">
        <v>7689.35</v>
      </c>
      <c r="E126" s="2" t="n">
        <v>917</v>
      </c>
      <c r="F126" s="2" t="n">
        <v>39</v>
      </c>
      <c r="G126" s="3" t="n">
        <v>14327.6</v>
      </c>
      <c r="H126" s="2" t="n">
        <v>1.75</v>
      </c>
      <c r="I126" s="2" t="n">
        <v>1.86</v>
      </c>
      <c r="J126" s="2" t="s">
        <v>13</v>
      </c>
    </row>
    <row r="127" customFormat="false" ht="15" hidden="false" customHeight="false" outlineLevel="0" collapsed="false">
      <c r="A127" s="2" t="s">
        <v>157</v>
      </c>
      <c r="B127" s="2" t="s">
        <v>11</v>
      </c>
      <c r="C127" s="2" t="s">
        <v>33</v>
      </c>
      <c r="D127" s="3" t="n">
        <v>11947.32</v>
      </c>
      <c r="E127" s="2" t="n">
        <v>1040</v>
      </c>
      <c r="F127" s="2" t="n">
        <v>141</v>
      </c>
      <c r="G127" s="3" t="n">
        <v>16081.32</v>
      </c>
      <c r="H127" s="2"/>
      <c r="I127" s="2" t="n">
        <v>1.35</v>
      </c>
      <c r="J127" s="2" t="s">
        <v>62</v>
      </c>
    </row>
    <row r="128" customFormat="false" ht="15" hidden="false" customHeight="false" outlineLevel="0" collapsed="false">
      <c r="A128" s="2" t="s">
        <v>158</v>
      </c>
      <c r="B128" s="2" t="s">
        <v>11</v>
      </c>
      <c r="C128" s="2" t="s">
        <v>15</v>
      </c>
      <c r="D128" s="3" t="n">
        <v>7138.11</v>
      </c>
      <c r="E128" s="2" t="n">
        <v>1572</v>
      </c>
      <c r="F128" s="2" t="n">
        <v>0</v>
      </c>
      <c r="G128" s="3" t="n">
        <v>21658.29</v>
      </c>
      <c r="H128" s="2" t="n">
        <v>28.21</v>
      </c>
      <c r="I128" s="2" t="n">
        <v>3.03</v>
      </c>
      <c r="J128" s="2" t="s">
        <v>48</v>
      </c>
    </row>
    <row r="129" customFormat="false" ht="15" hidden="false" customHeight="false" outlineLevel="0" collapsed="false">
      <c r="A129" s="2" t="s">
        <v>159</v>
      </c>
      <c r="B129" s="2" t="s">
        <v>22</v>
      </c>
      <c r="C129" s="2" t="s">
        <v>12</v>
      </c>
      <c r="D129" s="3" t="n">
        <v>14114.68</v>
      </c>
      <c r="E129" s="2" t="n">
        <v>1630</v>
      </c>
      <c r="F129" s="2" t="n">
        <v>28</v>
      </c>
      <c r="G129" s="3" t="n">
        <v>13176.96</v>
      </c>
      <c r="H129" s="2"/>
      <c r="I129" s="2" t="n">
        <v>0.93</v>
      </c>
      <c r="J129" s="2" t="s">
        <v>26</v>
      </c>
    </row>
    <row r="130" customFormat="false" ht="15" hidden="false" customHeight="false" outlineLevel="0" collapsed="false">
      <c r="A130" s="2" t="s">
        <v>160</v>
      </c>
      <c r="B130" s="2" t="s">
        <v>11</v>
      </c>
      <c r="C130" s="2" t="s">
        <v>33</v>
      </c>
      <c r="D130" s="3" t="n">
        <v>9491.18</v>
      </c>
      <c r="E130" s="2" t="n">
        <v>1328</v>
      </c>
      <c r="F130" s="2" t="n">
        <v>93</v>
      </c>
      <c r="G130" s="3" t="n">
        <v>3261.99</v>
      </c>
      <c r="H130" s="2" t="n">
        <v>0.68</v>
      </c>
      <c r="I130" s="2" t="n">
        <v>0.34</v>
      </c>
      <c r="J130" s="2" t="s">
        <v>48</v>
      </c>
    </row>
    <row r="131" customFormat="false" ht="15" hidden="false" customHeight="false" outlineLevel="0" collapsed="false">
      <c r="A131" s="2" t="s">
        <v>161</v>
      </c>
      <c r="B131" s="2" t="s">
        <v>47</v>
      </c>
      <c r="C131" s="2" t="s">
        <v>23</v>
      </c>
      <c r="D131" s="3" t="n">
        <v>11946.07</v>
      </c>
      <c r="E131" s="2" t="n">
        <v>156</v>
      </c>
      <c r="F131" s="2" t="n">
        <v>129</v>
      </c>
      <c r="G131" s="3" t="n">
        <v>12617.09</v>
      </c>
      <c r="H131" s="2" t="n">
        <v>0.12</v>
      </c>
      <c r="I131" s="2" t="n">
        <v>1.06</v>
      </c>
      <c r="J131" s="2" t="s">
        <v>20</v>
      </c>
    </row>
    <row r="132" customFormat="false" ht="15" hidden="false" customHeight="false" outlineLevel="0" collapsed="false">
      <c r="A132" s="2" t="s">
        <v>162</v>
      </c>
      <c r="B132" s="2" t="s">
        <v>22</v>
      </c>
      <c r="C132" s="2" t="s">
        <v>12</v>
      </c>
      <c r="D132" s="3" t="n">
        <v>12392.56</v>
      </c>
      <c r="E132" s="2" t="n">
        <v>1637</v>
      </c>
      <c r="F132" s="2" t="n">
        <v>86</v>
      </c>
      <c r="G132" s="3" t="n">
        <v>23319.12</v>
      </c>
      <c r="H132" s="2" t="n">
        <v>0.86</v>
      </c>
      <c r="I132" s="2" t="n">
        <v>1.88</v>
      </c>
      <c r="J132" s="2" t="s">
        <v>62</v>
      </c>
    </row>
    <row r="133" customFormat="false" ht="15" hidden="false" customHeight="false" outlineLevel="0" collapsed="false">
      <c r="A133" s="2" t="s">
        <v>163</v>
      </c>
      <c r="B133" s="2" t="s">
        <v>11</v>
      </c>
      <c r="C133" s="2" t="s">
        <v>23</v>
      </c>
      <c r="D133" s="3" t="n">
        <v>660.42</v>
      </c>
      <c r="E133" s="2" t="n">
        <v>652</v>
      </c>
      <c r="F133" s="2" t="n">
        <v>52</v>
      </c>
      <c r="G133" s="3" t="n">
        <v>8857.07</v>
      </c>
      <c r="H133" s="2" t="n">
        <v>0.96</v>
      </c>
      <c r="I133" s="2" t="n">
        <v>13.41</v>
      </c>
      <c r="J133" s="2" t="s">
        <v>16</v>
      </c>
    </row>
    <row r="134" customFormat="false" ht="15" hidden="false" customHeight="false" outlineLevel="0" collapsed="false">
      <c r="A134" s="2" t="s">
        <v>164</v>
      </c>
      <c r="B134" s="2" t="s">
        <v>18</v>
      </c>
      <c r="C134" s="2" t="s">
        <v>15</v>
      </c>
      <c r="D134" s="3" t="n">
        <v>625.65</v>
      </c>
      <c r="E134" s="2" t="n">
        <v>2992</v>
      </c>
      <c r="F134" s="2" t="n">
        <v>81</v>
      </c>
      <c r="G134" s="3" t="n">
        <v>11101.08</v>
      </c>
      <c r="H134" s="2" t="n">
        <v>2.66</v>
      </c>
      <c r="I134" s="2" t="n">
        <v>17.74</v>
      </c>
      <c r="J134" s="2" t="s">
        <v>13</v>
      </c>
    </row>
    <row r="135" customFormat="false" ht="15" hidden="false" customHeight="false" outlineLevel="0" collapsed="false">
      <c r="A135" s="2" t="s">
        <v>165</v>
      </c>
      <c r="B135" s="2" t="s">
        <v>22</v>
      </c>
      <c r="C135" s="2" t="s">
        <v>15</v>
      </c>
      <c r="D135" s="3" t="n">
        <v>6271.31</v>
      </c>
      <c r="E135" s="2" t="n">
        <v>1748</v>
      </c>
      <c r="F135" s="2" t="n">
        <v>27</v>
      </c>
      <c r="G135" s="3" t="n">
        <v>14864.95</v>
      </c>
      <c r="H135" s="2" t="n">
        <v>2.55</v>
      </c>
      <c r="I135" s="2" t="n">
        <v>2.37</v>
      </c>
      <c r="J135" s="2" t="s">
        <v>13</v>
      </c>
    </row>
    <row r="136" customFormat="false" ht="15" hidden="false" customHeight="false" outlineLevel="0" collapsed="false">
      <c r="A136" s="2" t="s">
        <v>166</v>
      </c>
      <c r="B136" s="2" t="s">
        <v>22</v>
      </c>
      <c r="C136" s="2" t="s">
        <v>12</v>
      </c>
      <c r="D136" s="3" t="n">
        <v>8282.18</v>
      </c>
      <c r="E136" s="2" t="n">
        <v>1399</v>
      </c>
      <c r="F136" s="2" t="n">
        <v>150</v>
      </c>
      <c r="G136" s="3" t="n">
        <v>29027.67</v>
      </c>
      <c r="H136" s="2" t="n">
        <v>0.72</v>
      </c>
      <c r="I136" s="2" t="n">
        <v>3.5</v>
      </c>
      <c r="J136" s="2" t="s">
        <v>62</v>
      </c>
    </row>
    <row r="137" customFormat="false" ht="15" hidden="false" customHeight="false" outlineLevel="0" collapsed="false">
      <c r="A137" s="2" t="s">
        <v>167</v>
      </c>
      <c r="B137" s="2" t="s">
        <v>30</v>
      </c>
      <c r="C137" s="2" t="s">
        <v>12</v>
      </c>
      <c r="D137" s="3" t="n">
        <v>10425.33</v>
      </c>
      <c r="E137" s="2" t="n">
        <v>2464</v>
      </c>
      <c r="F137" s="2" t="n">
        <v>23</v>
      </c>
      <c r="G137" s="3" t="n">
        <v>1127.11</v>
      </c>
      <c r="H137" s="2" t="n">
        <v>2.44</v>
      </c>
      <c r="I137" s="2" t="n">
        <v>0.11</v>
      </c>
      <c r="J137" s="2" t="s">
        <v>20</v>
      </c>
    </row>
    <row r="138" customFormat="false" ht="15" hidden="false" customHeight="false" outlineLevel="0" collapsed="false">
      <c r="A138" s="2" t="s">
        <v>168</v>
      </c>
      <c r="B138" s="2" t="s">
        <v>11</v>
      </c>
      <c r="C138" s="2" t="s">
        <v>38</v>
      </c>
      <c r="D138" s="3" t="n">
        <v>8767</v>
      </c>
      <c r="E138" s="2" t="n">
        <v>341</v>
      </c>
      <c r="F138" s="2" t="n">
        <v>0</v>
      </c>
      <c r="G138" s="3" t="n">
        <v>32221.74</v>
      </c>
      <c r="H138" s="2" t="n">
        <v>0.31</v>
      </c>
      <c r="I138" s="2" t="n">
        <v>3.68</v>
      </c>
      <c r="J138" s="2" t="s">
        <v>48</v>
      </c>
    </row>
    <row r="139" customFormat="false" ht="15" hidden="false" customHeight="false" outlineLevel="0" collapsed="false">
      <c r="A139" s="2" t="s">
        <v>169</v>
      </c>
      <c r="B139" s="2" t="s">
        <v>30</v>
      </c>
      <c r="C139" s="2" t="s">
        <v>19</v>
      </c>
      <c r="D139" s="3" t="n">
        <v>9035.27</v>
      </c>
      <c r="E139" s="2" t="n">
        <v>2746</v>
      </c>
      <c r="F139" s="2" t="n">
        <v>52</v>
      </c>
      <c r="G139" s="3" t="n">
        <v>19851.61</v>
      </c>
      <c r="H139" s="2" t="n">
        <v>1.5</v>
      </c>
      <c r="I139" s="2" t="n">
        <v>2.2</v>
      </c>
      <c r="J139" s="2" t="s">
        <v>13</v>
      </c>
    </row>
    <row r="140" customFormat="false" ht="15" hidden="false" customHeight="false" outlineLevel="0" collapsed="false">
      <c r="A140" s="2" t="s">
        <v>170</v>
      </c>
      <c r="B140" s="2" t="s">
        <v>11</v>
      </c>
      <c r="C140" s="2" t="s">
        <v>38</v>
      </c>
      <c r="D140" s="3" t="n">
        <v>9670.1</v>
      </c>
      <c r="E140" s="2" t="n">
        <v>635</v>
      </c>
      <c r="F140" s="2" t="n">
        <v>75</v>
      </c>
      <c r="G140" s="3" t="n">
        <v>27019.69</v>
      </c>
      <c r="H140" s="2" t="n">
        <v>2.66</v>
      </c>
      <c r="I140" s="2" t="n">
        <v>2.79</v>
      </c>
      <c r="J140" s="2" t="s">
        <v>20</v>
      </c>
    </row>
    <row r="141" customFormat="false" ht="15" hidden="false" customHeight="false" outlineLevel="0" collapsed="false">
      <c r="A141" s="2" t="s">
        <v>171</v>
      </c>
      <c r="B141" s="2" t="s">
        <v>22</v>
      </c>
      <c r="C141" s="2" t="s">
        <v>33</v>
      </c>
      <c r="D141" s="3" t="n">
        <v>9150.78</v>
      </c>
      <c r="E141" s="2" t="n">
        <v>1123</v>
      </c>
      <c r="F141" s="2" t="n">
        <v>142</v>
      </c>
      <c r="G141" s="3" t="n">
        <v>573.9</v>
      </c>
      <c r="H141" s="2" t="n">
        <v>2.72</v>
      </c>
      <c r="I141" s="2" t="n">
        <v>0.06</v>
      </c>
      <c r="J141" s="2" t="s">
        <v>172</v>
      </c>
    </row>
    <row r="142" customFormat="false" ht="15" hidden="false" customHeight="false" outlineLevel="0" collapsed="false">
      <c r="A142" s="2" t="s">
        <v>173</v>
      </c>
      <c r="B142" s="2" t="s">
        <v>22</v>
      </c>
      <c r="C142" s="2" t="s">
        <v>33</v>
      </c>
      <c r="D142" s="3" t="n">
        <v>5706.4</v>
      </c>
      <c r="E142" s="2" t="n">
        <v>272</v>
      </c>
      <c r="F142" s="2" t="n">
        <v>55</v>
      </c>
      <c r="G142" s="3" t="n">
        <v>26848.39</v>
      </c>
      <c r="H142" s="2" t="n">
        <v>0.18</v>
      </c>
      <c r="I142" s="2" t="n">
        <v>4.7</v>
      </c>
      <c r="J142" s="2" t="s">
        <v>20</v>
      </c>
    </row>
    <row r="143" customFormat="false" ht="15" hidden="false" customHeight="false" outlineLevel="0" collapsed="false">
      <c r="A143" s="2" t="s">
        <v>174</v>
      </c>
      <c r="B143" s="2" t="s">
        <v>18</v>
      </c>
      <c r="C143" s="2" t="s">
        <v>15</v>
      </c>
      <c r="D143" s="3" t="n">
        <v>2703.92</v>
      </c>
      <c r="E143" s="2" t="n">
        <v>1240</v>
      </c>
      <c r="F143" s="2" t="n">
        <v>35</v>
      </c>
      <c r="G143" s="3" t="n">
        <v>25795.15</v>
      </c>
      <c r="H143" s="2" t="n">
        <v>16.67</v>
      </c>
      <c r="I143" s="2" t="n">
        <v>9.54</v>
      </c>
      <c r="J143" s="2" t="s">
        <v>20</v>
      </c>
    </row>
    <row r="144" customFormat="false" ht="15" hidden="false" customHeight="false" outlineLevel="0" collapsed="false">
      <c r="A144" s="2" t="s">
        <v>175</v>
      </c>
      <c r="B144" s="2" t="s">
        <v>18</v>
      </c>
      <c r="C144" s="2" t="s">
        <v>15</v>
      </c>
      <c r="D144" s="3" t="n">
        <v>10128.84</v>
      </c>
      <c r="E144" s="2" t="n">
        <v>1534</v>
      </c>
      <c r="F144" s="2" t="n">
        <v>3</v>
      </c>
      <c r="G144" s="3" t="n">
        <v>23822.81</v>
      </c>
      <c r="H144" s="2" t="n">
        <v>2.43</v>
      </c>
      <c r="I144" s="2" t="n">
        <v>2.35</v>
      </c>
      <c r="J144" s="2" t="s">
        <v>31</v>
      </c>
    </row>
    <row r="145" customFormat="false" ht="15" hidden="false" customHeight="false" outlineLevel="0" collapsed="false">
      <c r="A145" s="2" t="s">
        <v>176</v>
      </c>
      <c r="B145" s="2" t="s">
        <v>22</v>
      </c>
      <c r="C145" s="2" t="s">
        <v>33</v>
      </c>
      <c r="D145" s="3" t="n">
        <v>13371.6</v>
      </c>
      <c r="E145" s="2" t="n">
        <v>2478</v>
      </c>
      <c r="F145" s="2" t="n">
        <v>26</v>
      </c>
      <c r="G145" s="3" t="n">
        <v>8275.33</v>
      </c>
      <c r="H145" s="2" t="n">
        <v>2.13</v>
      </c>
      <c r="I145" s="2" t="n">
        <v>0.62</v>
      </c>
      <c r="J145" s="2" t="s">
        <v>13</v>
      </c>
    </row>
    <row r="146" customFormat="false" ht="15" hidden="false" customHeight="false" outlineLevel="0" collapsed="false">
      <c r="A146" s="2" t="s">
        <v>177</v>
      </c>
      <c r="B146" s="2" t="s">
        <v>18</v>
      </c>
      <c r="C146" s="2" t="s">
        <v>33</v>
      </c>
      <c r="D146" s="3" t="n">
        <v>4988.41</v>
      </c>
      <c r="E146" s="2" t="n">
        <v>1497</v>
      </c>
      <c r="F146" s="2" t="n">
        <v>150</v>
      </c>
      <c r="G146" s="3" t="n">
        <v>6884.5</v>
      </c>
      <c r="H146" s="2" t="n">
        <v>0.87</v>
      </c>
      <c r="I146" s="2" t="n">
        <v>1.38</v>
      </c>
      <c r="J146" s="2" t="s">
        <v>31</v>
      </c>
    </row>
    <row r="147" customFormat="false" ht="15" hidden="false" customHeight="false" outlineLevel="0" collapsed="false">
      <c r="A147" s="2" t="s">
        <v>178</v>
      </c>
      <c r="B147" s="2" t="s">
        <v>30</v>
      </c>
      <c r="C147" s="2" t="s">
        <v>33</v>
      </c>
      <c r="D147" s="3" t="n">
        <v>932.99</v>
      </c>
      <c r="E147" s="2" t="n">
        <v>1720</v>
      </c>
      <c r="F147" s="2" t="n">
        <v>98</v>
      </c>
      <c r="G147" s="3" t="n">
        <v>32142.89</v>
      </c>
      <c r="H147" s="2" t="n">
        <v>1.05</v>
      </c>
      <c r="I147" s="2" t="n">
        <v>34.45</v>
      </c>
      <c r="J147" s="2" t="s">
        <v>31</v>
      </c>
    </row>
    <row r="148" customFormat="false" ht="15" hidden="false" customHeight="false" outlineLevel="0" collapsed="false">
      <c r="A148" s="2" t="s">
        <v>179</v>
      </c>
      <c r="B148" s="2" t="s">
        <v>18</v>
      </c>
      <c r="C148" s="2" t="s">
        <v>33</v>
      </c>
      <c r="D148" s="3" t="n">
        <v>5635.64</v>
      </c>
      <c r="E148" s="2" t="n">
        <v>970</v>
      </c>
      <c r="F148" s="2" t="n">
        <v>61</v>
      </c>
      <c r="G148" s="3" t="n">
        <v>12175.97</v>
      </c>
      <c r="H148" s="2" t="n">
        <v>3.97</v>
      </c>
      <c r="I148" s="2" t="n">
        <v>2.16</v>
      </c>
      <c r="J148" s="2" t="s">
        <v>48</v>
      </c>
    </row>
    <row r="149" customFormat="false" ht="15" hidden="false" customHeight="false" outlineLevel="0" collapsed="false">
      <c r="A149" s="2" t="s">
        <v>180</v>
      </c>
      <c r="B149" s="2" t="s">
        <v>30</v>
      </c>
      <c r="C149" s="2" t="s">
        <v>23</v>
      </c>
      <c r="D149" s="3" t="n">
        <v>790.89</v>
      </c>
      <c r="E149" s="2" t="n">
        <v>418</v>
      </c>
      <c r="F149" s="2" t="n">
        <v>145</v>
      </c>
      <c r="G149" s="3" t="n">
        <v>28193.74</v>
      </c>
      <c r="H149" s="2" t="n">
        <v>0.56</v>
      </c>
      <c r="I149" s="2" t="n">
        <v>35.65</v>
      </c>
      <c r="J149" s="2" t="s">
        <v>48</v>
      </c>
    </row>
    <row r="150" customFormat="false" ht="15" hidden="false" customHeight="false" outlineLevel="0" collapsed="false">
      <c r="A150" s="2" t="s">
        <v>181</v>
      </c>
      <c r="B150" s="2" t="s">
        <v>30</v>
      </c>
      <c r="C150" s="2" t="s">
        <v>15</v>
      </c>
      <c r="D150" s="3" t="n">
        <v>10177.43</v>
      </c>
      <c r="E150" s="2" t="n">
        <v>1578</v>
      </c>
      <c r="F150" s="2" t="n">
        <v>123</v>
      </c>
      <c r="G150" s="3" t="n">
        <v>35321.78</v>
      </c>
      <c r="H150" s="2" t="n">
        <v>0.97</v>
      </c>
      <c r="I150" s="2" t="n">
        <v>3.47</v>
      </c>
      <c r="J150" s="2" t="s">
        <v>31</v>
      </c>
    </row>
    <row r="151" customFormat="false" ht="15" hidden="false" customHeight="false" outlineLevel="0" collapsed="false">
      <c r="A151" s="2" t="s">
        <v>182</v>
      </c>
      <c r="B151" s="2" t="s">
        <v>11</v>
      </c>
      <c r="C151" s="2" t="s">
        <v>19</v>
      </c>
      <c r="D151" s="3" t="n">
        <v>1056.98</v>
      </c>
      <c r="E151" s="2" t="n">
        <v>495</v>
      </c>
      <c r="F151" s="2" t="n">
        <v>75</v>
      </c>
      <c r="G151" s="3" t="n">
        <v>36959.83</v>
      </c>
      <c r="H151" s="2" t="n">
        <v>0.25</v>
      </c>
      <c r="I151" s="2" t="n">
        <v>34.97</v>
      </c>
      <c r="J151" s="2" t="s">
        <v>26</v>
      </c>
    </row>
    <row r="152" customFormat="false" ht="15" hidden="false" customHeight="false" outlineLevel="0" collapsed="false">
      <c r="A152" s="2" t="s">
        <v>183</v>
      </c>
      <c r="B152" s="2" t="s">
        <v>18</v>
      </c>
      <c r="C152" s="2" t="s">
        <v>19</v>
      </c>
      <c r="D152" s="3" t="n">
        <v>2055.3</v>
      </c>
      <c r="E152" s="2" t="n">
        <v>2986</v>
      </c>
      <c r="F152" s="2" t="n">
        <v>87</v>
      </c>
      <c r="G152" s="3" t="n">
        <v>6201.25</v>
      </c>
      <c r="H152" s="2" t="n">
        <v>3.45</v>
      </c>
      <c r="I152" s="2" t="n">
        <v>3.02</v>
      </c>
      <c r="J152" s="2" t="s">
        <v>20</v>
      </c>
    </row>
    <row r="153" customFormat="false" ht="15" hidden="false" customHeight="false" outlineLevel="0" collapsed="false">
      <c r="A153" s="2" t="s">
        <v>184</v>
      </c>
      <c r="B153" s="2" t="s">
        <v>47</v>
      </c>
      <c r="C153" s="2" t="s">
        <v>33</v>
      </c>
      <c r="D153" s="3" t="n">
        <v>4646.43</v>
      </c>
      <c r="E153" s="2" t="n">
        <v>1398</v>
      </c>
      <c r="F153" s="2" t="n">
        <v>99</v>
      </c>
      <c r="G153" s="3" t="n">
        <v>24993.76</v>
      </c>
      <c r="H153" s="2" t="n">
        <v>1.84</v>
      </c>
      <c r="I153" s="2" t="n">
        <v>5.38</v>
      </c>
      <c r="J153" s="2" t="s">
        <v>13</v>
      </c>
    </row>
    <row r="154" customFormat="false" ht="15" hidden="false" customHeight="false" outlineLevel="0" collapsed="false">
      <c r="A154" s="2" t="s">
        <v>185</v>
      </c>
      <c r="B154" s="2" t="s">
        <v>11</v>
      </c>
      <c r="C154" s="2" t="s">
        <v>15</v>
      </c>
      <c r="D154" s="3" t="n">
        <v>7638.3</v>
      </c>
      <c r="E154" s="2" t="n">
        <v>2381</v>
      </c>
      <c r="F154" s="2" t="n">
        <v>55</v>
      </c>
      <c r="G154" s="3" t="n">
        <v>5055.63</v>
      </c>
      <c r="H154" s="2" t="n">
        <v>1.56</v>
      </c>
      <c r="I154" s="2" t="n">
        <v>0.66</v>
      </c>
      <c r="J154" s="2" t="s">
        <v>13</v>
      </c>
    </row>
    <row r="155" customFormat="false" ht="15" hidden="false" customHeight="false" outlineLevel="0" collapsed="false">
      <c r="A155" s="2" t="s">
        <v>186</v>
      </c>
      <c r="B155" s="2" t="s">
        <v>47</v>
      </c>
      <c r="C155" s="2" t="s">
        <v>33</v>
      </c>
      <c r="D155" s="3" t="n">
        <v>8587.43</v>
      </c>
      <c r="E155" s="2" t="n">
        <v>133</v>
      </c>
      <c r="F155" s="2" t="n">
        <v>74</v>
      </c>
      <c r="G155" s="3" t="n">
        <v>0</v>
      </c>
      <c r="H155" s="2" t="n">
        <v>0.07</v>
      </c>
      <c r="I155" s="2" t="n">
        <v>0</v>
      </c>
      <c r="J155" s="2" t="s">
        <v>16</v>
      </c>
    </row>
    <row r="156" customFormat="false" ht="15" hidden="false" customHeight="false" outlineLevel="0" collapsed="false">
      <c r="A156" s="2" t="s">
        <v>187</v>
      </c>
      <c r="B156" s="2" t="s">
        <v>30</v>
      </c>
      <c r="C156" s="2" t="s">
        <v>23</v>
      </c>
      <c r="D156" s="3" t="n">
        <v>10758.1</v>
      </c>
      <c r="E156" s="2" t="n">
        <v>2745</v>
      </c>
      <c r="F156" s="2" t="n">
        <v>16</v>
      </c>
      <c r="G156" s="3" t="n">
        <v>14265.67</v>
      </c>
      <c r="H156" s="2" t="n">
        <v>3.13</v>
      </c>
      <c r="I156" s="2" t="n">
        <v>1.33</v>
      </c>
      <c r="J156" s="2" t="s">
        <v>26</v>
      </c>
    </row>
    <row r="157" customFormat="false" ht="15" hidden="false" customHeight="false" outlineLevel="0" collapsed="false">
      <c r="A157" s="2" t="s">
        <v>188</v>
      </c>
      <c r="B157" s="2" t="s">
        <v>11</v>
      </c>
      <c r="C157" s="2" t="s">
        <v>19</v>
      </c>
      <c r="D157" s="3" t="n">
        <v>3600.5</v>
      </c>
      <c r="E157" s="2" t="n">
        <v>2034</v>
      </c>
      <c r="F157" s="2" t="n">
        <v>65</v>
      </c>
      <c r="G157" s="3" t="n">
        <v>35846.88</v>
      </c>
      <c r="H157" s="2" t="n">
        <v>1.39</v>
      </c>
      <c r="I157" s="2" t="n">
        <v>9.96</v>
      </c>
      <c r="J157" s="2" t="s">
        <v>26</v>
      </c>
    </row>
    <row r="158" customFormat="false" ht="15" hidden="false" customHeight="false" outlineLevel="0" collapsed="false">
      <c r="A158" s="2" t="s">
        <v>189</v>
      </c>
      <c r="B158" s="2" t="s">
        <v>18</v>
      </c>
      <c r="C158" s="2" t="s">
        <v>15</v>
      </c>
      <c r="D158" s="3" t="n">
        <v>8962.2</v>
      </c>
      <c r="E158" s="2" t="n">
        <v>2457</v>
      </c>
      <c r="F158" s="2" t="n">
        <v>56</v>
      </c>
      <c r="G158" s="3" t="n">
        <v>32571.77</v>
      </c>
      <c r="H158" s="2" t="n">
        <v>4.89</v>
      </c>
      <c r="I158" s="2" t="n">
        <v>3.63</v>
      </c>
      <c r="J158" s="2" t="s">
        <v>13</v>
      </c>
    </row>
    <row r="159" customFormat="false" ht="15" hidden="false" customHeight="false" outlineLevel="0" collapsed="false">
      <c r="A159" s="2" t="s">
        <v>190</v>
      </c>
      <c r="B159" s="2" t="s">
        <v>47</v>
      </c>
      <c r="C159" s="2" t="s">
        <v>38</v>
      </c>
      <c r="D159" s="3" t="n">
        <v>10545.6</v>
      </c>
      <c r="E159" s="2" t="n">
        <v>1693</v>
      </c>
      <c r="F159" s="2" t="n">
        <v>0</v>
      </c>
      <c r="G159" s="3" t="n">
        <v>1040.47</v>
      </c>
      <c r="H159" s="2" t="n">
        <v>5.64</v>
      </c>
      <c r="I159" s="2" t="n">
        <v>0.1</v>
      </c>
      <c r="J159" s="2" t="s">
        <v>26</v>
      </c>
    </row>
    <row r="160" customFormat="false" ht="15" hidden="false" customHeight="false" outlineLevel="0" collapsed="false">
      <c r="A160" s="2" t="s">
        <v>191</v>
      </c>
      <c r="B160" s="2" t="s">
        <v>11</v>
      </c>
      <c r="C160" s="2" t="s">
        <v>15</v>
      </c>
      <c r="D160" s="3" t="n">
        <v>1990.64</v>
      </c>
      <c r="E160" s="2" t="n">
        <v>2588</v>
      </c>
      <c r="F160" s="2" t="n">
        <v>114</v>
      </c>
      <c r="G160" s="3" t="n">
        <v>498.13</v>
      </c>
      <c r="H160" s="2" t="n">
        <v>1.44</v>
      </c>
      <c r="I160" s="2" t="n">
        <v>0.25</v>
      </c>
      <c r="J160" s="2" t="s">
        <v>24</v>
      </c>
    </row>
    <row r="161" customFormat="false" ht="15" hidden="false" customHeight="false" outlineLevel="0" collapsed="false">
      <c r="A161" s="2" t="s">
        <v>192</v>
      </c>
      <c r="B161" s="2" t="s">
        <v>30</v>
      </c>
      <c r="C161" s="2" t="s">
        <v>12</v>
      </c>
      <c r="D161" s="3" t="n">
        <v>4645.86</v>
      </c>
      <c r="E161" s="2" t="n">
        <v>2640</v>
      </c>
      <c r="F161" s="2" t="n">
        <v>138</v>
      </c>
      <c r="G161" s="3" t="n">
        <v>22004.99</v>
      </c>
      <c r="H161" s="2" t="n">
        <v>18.33</v>
      </c>
      <c r="I161" s="2" t="n">
        <v>4.74</v>
      </c>
      <c r="J161" s="2" t="s">
        <v>26</v>
      </c>
    </row>
    <row r="162" customFormat="false" ht="15" hidden="false" customHeight="false" outlineLevel="0" collapsed="false">
      <c r="A162" s="2" t="s">
        <v>193</v>
      </c>
      <c r="B162" s="2" t="s">
        <v>30</v>
      </c>
      <c r="C162" s="2" t="s">
        <v>38</v>
      </c>
      <c r="D162" s="3" t="n">
        <v>2595.47</v>
      </c>
      <c r="E162" s="2" t="n">
        <v>921</v>
      </c>
      <c r="F162" s="2" t="n">
        <v>56</v>
      </c>
      <c r="G162" s="3" t="n">
        <v>39310.22</v>
      </c>
      <c r="H162" s="2" t="n">
        <v>0.97</v>
      </c>
      <c r="I162" s="2" t="n">
        <v>15.15</v>
      </c>
      <c r="J162" s="2" t="s">
        <v>31</v>
      </c>
    </row>
    <row r="163" customFormat="false" ht="15" hidden="false" customHeight="false" outlineLevel="0" collapsed="false">
      <c r="A163" s="2" t="s">
        <v>194</v>
      </c>
      <c r="B163" s="2" t="s">
        <v>22</v>
      </c>
      <c r="C163" s="2" t="s">
        <v>19</v>
      </c>
      <c r="D163" s="3" t="n">
        <v>13014.03</v>
      </c>
      <c r="E163" s="2" t="n">
        <v>2647</v>
      </c>
      <c r="F163" s="2" t="n">
        <v>39</v>
      </c>
      <c r="G163" s="3" t="n">
        <v>0</v>
      </c>
      <c r="H163" s="2" t="n">
        <v>4.93</v>
      </c>
      <c r="I163" s="2" t="n">
        <v>0</v>
      </c>
      <c r="J163" s="2" t="s">
        <v>20</v>
      </c>
    </row>
    <row r="164" customFormat="false" ht="15" hidden="false" customHeight="false" outlineLevel="0" collapsed="false">
      <c r="A164" s="2" t="s">
        <v>195</v>
      </c>
      <c r="B164" s="2" t="s">
        <v>11</v>
      </c>
      <c r="C164" s="2" t="s">
        <v>23</v>
      </c>
      <c r="D164" s="3" t="n">
        <v>6503.95</v>
      </c>
      <c r="E164" s="2" t="n">
        <v>261</v>
      </c>
      <c r="F164" s="2" t="n">
        <v>0</v>
      </c>
      <c r="G164" s="3" t="n">
        <v>15707.86</v>
      </c>
      <c r="H164" s="2" t="n">
        <v>1.68</v>
      </c>
      <c r="I164" s="2" t="n">
        <v>2.42</v>
      </c>
      <c r="J164" s="2" t="s">
        <v>24</v>
      </c>
    </row>
    <row r="165" customFormat="false" ht="15" hidden="false" customHeight="false" outlineLevel="0" collapsed="false">
      <c r="A165" s="2" t="s">
        <v>196</v>
      </c>
      <c r="B165" s="2" t="s">
        <v>22</v>
      </c>
      <c r="C165" s="2" t="s">
        <v>33</v>
      </c>
      <c r="D165" s="3" t="n">
        <v>7949.34</v>
      </c>
      <c r="E165" s="2" t="n">
        <v>1146</v>
      </c>
      <c r="F165" s="2" t="n">
        <v>142</v>
      </c>
      <c r="G165" s="3" t="n">
        <v>31444.34</v>
      </c>
      <c r="H165" s="2" t="n">
        <v>1.04</v>
      </c>
      <c r="I165" s="2" t="n">
        <v>3.96</v>
      </c>
      <c r="J165" s="2" t="s">
        <v>16</v>
      </c>
    </row>
    <row r="166" customFormat="false" ht="15" hidden="false" customHeight="false" outlineLevel="0" collapsed="false">
      <c r="A166" s="2" t="s">
        <v>197</v>
      </c>
      <c r="B166" s="2" t="s">
        <v>22</v>
      </c>
      <c r="C166" s="2" t="s">
        <v>23</v>
      </c>
      <c r="D166" s="3" t="n">
        <v>13402.25</v>
      </c>
      <c r="E166" s="2" t="n">
        <v>870</v>
      </c>
      <c r="F166" s="2" t="n">
        <v>12</v>
      </c>
      <c r="G166" s="3" t="n">
        <v>21466.96</v>
      </c>
      <c r="H166" s="2" t="n">
        <v>0.86</v>
      </c>
      <c r="I166" s="2" t="n">
        <v>1.6</v>
      </c>
      <c r="J166" s="2" t="s">
        <v>31</v>
      </c>
    </row>
    <row r="167" customFormat="false" ht="15" hidden="false" customHeight="false" outlineLevel="0" collapsed="false">
      <c r="A167" s="2" t="s">
        <v>198</v>
      </c>
      <c r="B167" s="2" t="s">
        <v>22</v>
      </c>
      <c r="C167" s="2" t="s">
        <v>19</v>
      </c>
      <c r="D167" s="3" t="n">
        <v>8194.67</v>
      </c>
      <c r="E167" s="2" t="n">
        <v>1846</v>
      </c>
      <c r="F167" s="2" t="n">
        <v>119</v>
      </c>
      <c r="G167" s="3" t="n">
        <v>0</v>
      </c>
      <c r="H167" s="2" t="n">
        <v>2.41</v>
      </c>
      <c r="I167" s="2" t="n">
        <v>0</v>
      </c>
      <c r="J167" s="2" t="s">
        <v>16</v>
      </c>
    </row>
    <row r="168" customFormat="false" ht="15" hidden="false" customHeight="false" outlineLevel="0" collapsed="false">
      <c r="A168" s="2" t="s">
        <v>199</v>
      </c>
      <c r="B168" s="2" t="s">
        <v>30</v>
      </c>
      <c r="C168" s="2" t="s">
        <v>12</v>
      </c>
      <c r="D168" s="3" t="n">
        <v>14073.73</v>
      </c>
      <c r="E168" s="2" t="n">
        <v>2990</v>
      </c>
      <c r="F168" s="2" t="n">
        <v>145</v>
      </c>
      <c r="G168" s="3" t="n">
        <v>12478.62</v>
      </c>
      <c r="H168" s="2" t="n">
        <v>21.75</v>
      </c>
      <c r="I168" s="2" t="n">
        <v>0.89</v>
      </c>
      <c r="J168" s="2" t="s">
        <v>16</v>
      </c>
    </row>
    <row r="169" customFormat="false" ht="15" hidden="false" customHeight="false" outlineLevel="0" collapsed="false">
      <c r="A169" s="2" t="s">
        <v>200</v>
      </c>
      <c r="B169" s="2" t="s">
        <v>11</v>
      </c>
      <c r="C169" s="2" t="s">
        <v>19</v>
      </c>
      <c r="D169" s="3" t="n">
        <v>6890.94</v>
      </c>
      <c r="E169" s="2" t="n">
        <v>1765</v>
      </c>
      <c r="F169" s="2" t="n">
        <v>0</v>
      </c>
      <c r="G169" s="3" t="n">
        <v>7347.11</v>
      </c>
      <c r="H169" s="2" t="n">
        <v>8.32</v>
      </c>
      <c r="I169" s="2" t="n">
        <v>1.07</v>
      </c>
      <c r="J169" s="2" t="s">
        <v>24</v>
      </c>
    </row>
    <row r="170" customFormat="false" ht="15" hidden="false" customHeight="false" outlineLevel="0" collapsed="false">
      <c r="A170" s="2" t="s">
        <v>201</v>
      </c>
      <c r="B170" s="2" t="s">
        <v>30</v>
      </c>
      <c r="C170" s="2" t="s">
        <v>15</v>
      </c>
      <c r="D170" s="3" t="n">
        <v>7856.76</v>
      </c>
      <c r="E170" s="2" t="n">
        <v>102</v>
      </c>
      <c r="F170" s="2" t="n">
        <v>86</v>
      </c>
      <c r="G170" s="3" t="n">
        <v>14241.72</v>
      </c>
      <c r="H170" s="2" t="n">
        <v>0.15</v>
      </c>
      <c r="I170" s="2" t="n">
        <v>1.81</v>
      </c>
      <c r="J170" s="2" t="s">
        <v>62</v>
      </c>
    </row>
    <row r="171" customFormat="false" ht="15" hidden="false" customHeight="false" outlineLevel="0" collapsed="false">
      <c r="A171" s="2" t="s">
        <v>202</v>
      </c>
      <c r="B171" s="2" t="s">
        <v>30</v>
      </c>
      <c r="C171" s="2" t="s">
        <v>15</v>
      </c>
      <c r="D171" s="3" t="n">
        <v>7693.82</v>
      </c>
      <c r="E171" s="2" t="n">
        <v>676</v>
      </c>
      <c r="F171" s="2" t="n">
        <v>66</v>
      </c>
      <c r="G171" s="3" t="n">
        <v>0</v>
      </c>
      <c r="H171" s="2" t="n">
        <v>0.4</v>
      </c>
      <c r="I171" s="2" t="n">
        <v>0</v>
      </c>
      <c r="J171" s="2" t="s">
        <v>48</v>
      </c>
    </row>
    <row r="172" customFormat="false" ht="15" hidden="false" customHeight="false" outlineLevel="0" collapsed="false">
      <c r="A172" s="2" t="s">
        <v>203</v>
      </c>
      <c r="B172" s="2" t="s">
        <v>22</v>
      </c>
      <c r="C172" s="2" t="s">
        <v>38</v>
      </c>
      <c r="D172" s="3" t="n">
        <v>11115.97</v>
      </c>
      <c r="E172" s="2" t="n">
        <v>1331</v>
      </c>
      <c r="F172" s="2" t="n">
        <v>108</v>
      </c>
      <c r="G172" s="3" t="n">
        <v>33700.96</v>
      </c>
      <c r="H172" s="2" t="n">
        <v>14.69</v>
      </c>
      <c r="I172" s="2" t="n">
        <v>3.03</v>
      </c>
      <c r="J172" s="2" t="s">
        <v>62</v>
      </c>
    </row>
    <row r="173" customFormat="false" ht="15" hidden="false" customHeight="false" outlineLevel="0" collapsed="false">
      <c r="A173" s="2" t="s">
        <v>204</v>
      </c>
      <c r="B173" s="2" t="s">
        <v>30</v>
      </c>
      <c r="C173" s="2" t="s">
        <v>38</v>
      </c>
      <c r="D173" s="3" t="n">
        <v>9788.42</v>
      </c>
      <c r="E173" s="2" t="n">
        <v>1837</v>
      </c>
      <c r="F173" s="2" t="n">
        <v>14</v>
      </c>
      <c r="G173" s="3" t="n">
        <v>24958.81</v>
      </c>
      <c r="H173" s="2" t="n">
        <v>0.96</v>
      </c>
      <c r="I173" s="2" t="n">
        <v>2.55</v>
      </c>
      <c r="J173" s="2" t="s">
        <v>16</v>
      </c>
    </row>
    <row r="174" customFormat="false" ht="15" hidden="false" customHeight="false" outlineLevel="0" collapsed="false">
      <c r="A174" s="2" t="s">
        <v>205</v>
      </c>
      <c r="B174" s="2" t="s">
        <v>18</v>
      </c>
      <c r="C174" s="2" t="s">
        <v>23</v>
      </c>
      <c r="D174" s="3" t="n">
        <v>8345.98</v>
      </c>
      <c r="E174" s="2" t="n">
        <v>1600</v>
      </c>
      <c r="F174" s="2" t="n">
        <v>29</v>
      </c>
      <c r="G174" s="3" t="n">
        <v>32844.97</v>
      </c>
      <c r="H174" s="2"/>
      <c r="I174" s="2" t="n">
        <v>3.94</v>
      </c>
      <c r="J174" s="2" t="s">
        <v>20</v>
      </c>
    </row>
    <row r="175" customFormat="false" ht="15" hidden="false" customHeight="false" outlineLevel="0" collapsed="false">
      <c r="A175" s="2" t="s">
        <v>206</v>
      </c>
      <c r="B175" s="2" t="s">
        <v>18</v>
      </c>
      <c r="C175" s="2" t="s">
        <v>38</v>
      </c>
      <c r="D175" s="3" t="n">
        <v>13452.06</v>
      </c>
      <c r="E175" s="2" t="n">
        <v>1343</v>
      </c>
      <c r="F175" s="2" t="n">
        <v>141</v>
      </c>
      <c r="G175" s="3" t="n">
        <v>38503.15</v>
      </c>
      <c r="H175" s="2" t="n">
        <v>1.74</v>
      </c>
      <c r="I175" s="2" t="n">
        <v>2.86</v>
      </c>
      <c r="J175" s="2" t="s">
        <v>24</v>
      </c>
    </row>
    <row r="176" customFormat="false" ht="15" hidden="false" customHeight="false" outlineLevel="0" collapsed="false">
      <c r="A176" s="2" t="s">
        <v>207</v>
      </c>
      <c r="B176" s="2" t="s">
        <v>18</v>
      </c>
      <c r="C176" s="2" t="s">
        <v>23</v>
      </c>
      <c r="D176" s="3" t="n">
        <v>11347.32</v>
      </c>
      <c r="E176" s="2" t="n">
        <v>757</v>
      </c>
      <c r="F176" s="2" t="n">
        <v>139</v>
      </c>
      <c r="G176" s="3" t="n">
        <v>7983.9</v>
      </c>
      <c r="H176" s="2" t="n">
        <v>0.4</v>
      </c>
      <c r="I176" s="2" t="n">
        <v>0.7</v>
      </c>
      <c r="J176" s="2" t="s">
        <v>26</v>
      </c>
    </row>
    <row r="177" customFormat="false" ht="15" hidden="false" customHeight="false" outlineLevel="0" collapsed="false">
      <c r="A177" s="2" t="s">
        <v>208</v>
      </c>
      <c r="B177" s="2" t="s">
        <v>18</v>
      </c>
      <c r="C177" s="2" t="s">
        <v>15</v>
      </c>
      <c r="D177" s="3" t="n">
        <v>13765.29</v>
      </c>
      <c r="E177" s="2" t="n">
        <v>1563</v>
      </c>
      <c r="F177" s="2" t="n">
        <v>90</v>
      </c>
      <c r="G177" s="3" t="n">
        <v>18625.56</v>
      </c>
      <c r="H177" s="2" t="n">
        <v>2.07</v>
      </c>
      <c r="I177" s="2" t="n">
        <v>1.35</v>
      </c>
      <c r="J177" s="2" t="s">
        <v>26</v>
      </c>
    </row>
    <row r="178" customFormat="false" ht="15" hidden="false" customHeight="false" outlineLevel="0" collapsed="false">
      <c r="A178" s="2" t="s">
        <v>209</v>
      </c>
      <c r="B178" s="2" t="s">
        <v>47</v>
      </c>
      <c r="C178" s="2" t="s">
        <v>38</v>
      </c>
      <c r="D178" s="3" t="n">
        <v>6706.68</v>
      </c>
      <c r="E178" s="2" t="n">
        <v>1627</v>
      </c>
      <c r="F178" s="2" t="n">
        <v>137</v>
      </c>
      <c r="G178" s="3" t="n">
        <v>31433.1</v>
      </c>
      <c r="H178" s="2" t="n">
        <v>1.79</v>
      </c>
      <c r="I178" s="2" t="n">
        <v>4.69</v>
      </c>
      <c r="J178" s="2" t="s">
        <v>26</v>
      </c>
    </row>
    <row r="179" customFormat="false" ht="15" hidden="false" customHeight="false" outlineLevel="0" collapsed="false">
      <c r="A179" s="2" t="s">
        <v>210</v>
      </c>
      <c r="B179" s="2" t="s">
        <v>47</v>
      </c>
      <c r="C179" s="2" t="s">
        <v>33</v>
      </c>
      <c r="D179" s="3" t="n">
        <v>6856.45</v>
      </c>
      <c r="E179" s="2" t="n">
        <v>1812</v>
      </c>
      <c r="F179" s="2" t="n">
        <v>77</v>
      </c>
      <c r="G179" s="3" t="n">
        <v>12078.03</v>
      </c>
      <c r="H179" s="2" t="n">
        <v>0.97</v>
      </c>
      <c r="I179" s="2" t="n">
        <v>1.76</v>
      </c>
      <c r="J179" s="2" t="s">
        <v>24</v>
      </c>
    </row>
    <row r="180" customFormat="false" ht="15" hidden="false" customHeight="false" outlineLevel="0" collapsed="false">
      <c r="A180" s="2" t="s">
        <v>211</v>
      </c>
      <c r="B180" s="2" t="s">
        <v>30</v>
      </c>
      <c r="C180" s="2" t="s">
        <v>15</v>
      </c>
      <c r="D180" s="3" t="n">
        <v>8606.79</v>
      </c>
      <c r="E180" s="2" t="n">
        <v>1915</v>
      </c>
      <c r="F180" s="2" t="n">
        <v>3</v>
      </c>
      <c r="G180" s="3" t="n">
        <v>0</v>
      </c>
      <c r="H180" s="2" t="n">
        <v>3.11</v>
      </c>
      <c r="I180" s="2" t="n">
        <v>0</v>
      </c>
      <c r="J180" s="2" t="s">
        <v>20</v>
      </c>
    </row>
    <row r="181" customFormat="false" ht="15" hidden="false" customHeight="false" outlineLevel="0" collapsed="false">
      <c r="A181" s="2" t="s">
        <v>212</v>
      </c>
      <c r="B181" s="2" t="s">
        <v>11</v>
      </c>
      <c r="C181" s="2" t="s">
        <v>23</v>
      </c>
      <c r="D181" s="3" t="n">
        <v>10743.97</v>
      </c>
      <c r="E181" s="2" t="n">
        <v>456</v>
      </c>
      <c r="F181" s="2" t="n">
        <v>121</v>
      </c>
      <c r="G181" s="3" t="n">
        <v>4919.25</v>
      </c>
      <c r="H181" s="2" t="n">
        <v>0.26</v>
      </c>
      <c r="I181" s="2" t="n">
        <v>0.46</v>
      </c>
      <c r="J181" s="2" t="s">
        <v>31</v>
      </c>
    </row>
    <row r="182" customFormat="false" ht="15" hidden="false" customHeight="false" outlineLevel="0" collapsed="false">
      <c r="A182" s="2" t="s">
        <v>213</v>
      </c>
      <c r="B182" s="2" t="s">
        <v>22</v>
      </c>
      <c r="C182" s="2" t="s">
        <v>12</v>
      </c>
      <c r="D182" s="3" t="n">
        <v>4693.43</v>
      </c>
      <c r="E182" s="2" t="n">
        <v>1832</v>
      </c>
      <c r="F182" s="2" t="n">
        <v>0</v>
      </c>
      <c r="G182" s="3" t="n">
        <v>10567.43</v>
      </c>
      <c r="H182" s="2" t="n">
        <v>1.37</v>
      </c>
      <c r="I182" s="2" t="n">
        <v>2.25</v>
      </c>
      <c r="J182" s="2" t="s">
        <v>26</v>
      </c>
    </row>
    <row r="183" customFormat="false" ht="15" hidden="false" customHeight="false" outlineLevel="0" collapsed="false">
      <c r="A183" s="2" t="s">
        <v>214</v>
      </c>
      <c r="B183" s="2" t="s">
        <v>47</v>
      </c>
      <c r="C183" s="2" t="s">
        <v>19</v>
      </c>
      <c r="D183" s="3" t="n">
        <v>2260.88</v>
      </c>
      <c r="E183" s="2" t="n">
        <v>1605</v>
      </c>
      <c r="F183" s="2" t="n">
        <v>49</v>
      </c>
      <c r="G183" s="3" t="n">
        <v>4521.55</v>
      </c>
      <c r="H183" s="2" t="n">
        <v>0.84</v>
      </c>
      <c r="I183" s="2" t="n">
        <v>2</v>
      </c>
      <c r="J183" s="2" t="s">
        <v>26</v>
      </c>
    </row>
    <row r="184" customFormat="false" ht="15" hidden="false" customHeight="false" outlineLevel="0" collapsed="false">
      <c r="A184" s="2" t="s">
        <v>215</v>
      </c>
      <c r="B184" s="2" t="s">
        <v>30</v>
      </c>
      <c r="C184" s="2" t="s">
        <v>23</v>
      </c>
      <c r="D184" s="3" t="n">
        <v>11315.66</v>
      </c>
      <c r="E184" s="2" t="n">
        <v>2196</v>
      </c>
      <c r="F184" s="2" t="n">
        <v>126</v>
      </c>
      <c r="G184" s="3" t="n">
        <v>3732.29</v>
      </c>
      <c r="H184" s="2" t="n">
        <v>3</v>
      </c>
      <c r="I184" s="2" t="n">
        <v>0.33</v>
      </c>
      <c r="J184" s="2" t="s">
        <v>20</v>
      </c>
    </row>
    <row r="185" customFormat="false" ht="15" hidden="false" customHeight="false" outlineLevel="0" collapsed="false">
      <c r="A185" s="2" t="s">
        <v>216</v>
      </c>
      <c r="B185" s="2" t="s">
        <v>47</v>
      </c>
      <c r="C185" s="2" t="s">
        <v>15</v>
      </c>
      <c r="D185" s="3" t="n">
        <v>8494.68</v>
      </c>
      <c r="E185" s="2" t="n">
        <v>1598</v>
      </c>
      <c r="F185" s="2" t="n">
        <v>107</v>
      </c>
      <c r="G185" s="3" t="n">
        <v>0</v>
      </c>
      <c r="H185" s="2" t="n">
        <v>1.73</v>
      </c>
      <c r="I185" s="2" t="n">
        <v>0</v>
      </c>
      <c r="J185" s="2" t="s">
        <v>20</v>
      </c>
    </row>
    <row r="186" customFormat="false" ht="15" hidden="false" customHeight="false" outlineLevel="0" collapsed="false">
      <c r="A186" s="2" t="s">
        <v>217</v>
      </c>
      <c r="B186" s="2" t="s">
        <v>22</v>
      </c>
      <c r="C186" s="2" t="s">
        <v>33</v>
      </c>
      <c r="D186" s="3" t="n">
        <v>1444.81</v>
      </c>
      <c r="E186" s="2" t="n">
        <v>2108</v>
      </c>
      <c r="F186" s="2" t="n">
        <v>112</v>
      </c>
      <c r="G186" s="3" t="n">
        <v>0</v>
      </c>
      <c r="H186" s="2" t="n">
        <v>1.67</v>
      </c>
      <c r="I186" s="2" t="n">
        <v>0</v>
      </c>
      <c r="J186" s="2" t="s">
        <v>20</v>
      </c>
    </row>
    <row r="187" customFormat="false" ht="15" hidden="false" customHeight="false" outlineLevel="0" collapsed="false">
      <c r="A187" s="2" t="s">
        <v>218</v>
      </c>
      <c r="B187" s="2" t="s">
        <v>11</v>
      </c>
      <c r="C187" s="2" t="s">
        <v>19</v>
      </c>
      <c r="D187" s="3" t="n">
        <v>9684.35</v>
      </c>
      <c r="E187" s="2" t="n">
        <v>2463</v>
      </c>
      <c r="F187" s="2" t="n">
        <v>61</v>
      </c>
      <c r="G187" s="3" t="n">
        <v>10533.55</v>
      </c>
      <c r="H187" s="2" t="n">
        <v>3.69</v>
      </c>
      <c r="I187" s="2" t="n">
        <v>1.09</v>
      </c>
      <c r="J187" s="2" t="s">
        <v>31</v>
      </c>
    </row>
    <row r="188" customFormat="false" ht="15" hidden="false" customHeight="false" outlineLevel="0" collapsed="false">
      <c r="A188" s="2" t="s">
        <v>219</v>
      </c>
      <c r="B188" s="2" t="s">
        <v>22</v>
      </c>
      <c r="C188" s="2" t="s">
        <v>15</v>
      </c>
      <c r="D188" s="3" t="n">
        <v>12174.7</v>
      </c>
      <c r="E188" s="2" t="n">
        <v>1017</v>
      </c>
      <c r="F188" s="2" t="n">
        <v>65</v>
      </c>
      <c r="G188" s="3" t="n">
        <v>8750.02</v>
      </c>
      <c r="H188" s="2" t="n">
        <v>15.26</v>
      </c>
      <c r="I188" s="2" t="n">
        <v>0.72</v>
      </c>
      <c r="J188" s="2" t="s">
        <v>62</v>
      </c>
    </row>
    <row r="189" customFormat="false" ht="15" hidden="false" customHeight="false" outlineLevel="0" collapsed="false">
      <c r="A189" s="2" t="s">
        <v>220</v>
      </c>
      <c r="B189" s="2" t="s">
        <v>30</v>
      </c>
      <c r="C189" s="2" t="s">
        <v>12</v>
      </c>
      <c r="D189" s="3" t="n">
        <v>10344.02</v>
      </c>
      <c r="E189" s="2" t="n">
        <v>582</v>
      </c>
      <c r="F189" s="2" t="n">
        <v>30</v>
      </c>
      <c r="G189" s="3" t="n">
        <v>28288.91</v>
      </c>
      <c r="H189" s="2" t="n">
        <v>0.95</v>
      </c>
      <c r="I189" s="2" t="n">
        <v>2.73</v>
      </c>
      <c r="J189" s="2" t="s">
        <v>62</v>
      </c>
    </row>
    <row r="190" customFormat="false" ht="15" hidden="false" customHeight="false" outlineLevel="0" collapsed="false">
      <c r="A190" s="2" t="s">
        <v>221</v>
      </c>
      <c r="B190" s="2" t="s">
        <v>18</v>
      </c>
      <c r="C190" s="2" t="s">
        <v>15</v>
      </c>
      <c r="D190" s="3" t="n">
        <v>13163.96</v>
      </c>
      <c r="E190" s="2" t="n">
        <v>21</v>
      </c>
      <c r="F190" s="2" t="n">
        <v>61</v>
      </c>
      <c r="G190" s="3" t="n">
        <v>16530.53</v>
      </c>
      <c r="H190" s="2" t="n">
        <v>0.04</v>
      </c>
      <c r="I190" s="2" t="n">
        <v>1.26</v>
      </c>
      <c r="J190" s="2" t="s">
        <v>24</v>
      </c>
    </row>
    <row r="191" customFormat="false" ht="15" hidden="false" customHeight="false" outlineLevel="0" collapsed="false">
      <c r="A191" s="2" t="s">
        <v>222</v>
      </c>
      <c r="B191" s="2" t="s">
        <v>11</v>
      </c>
      <c r="C191" s="2" t="s">
        <v>19</v>
      </c>
      <c r="D191" s="3" t="n">
        <v>14210.73</v>
      </c>
      <c r="E191" s="2" t="n">
        <v>1599</v>
      </c>
      <c r="F191" s="2" t="n">
        <v>46</v>
      </c>
      <c r="G191" s="3" t="n">
        <v>38098.99</v>
      </c>
      <c r="H191" s="2" t="n">
        <v>0.9</v>
      </c>
      <c r="I191" s="2" t="n">
        <v>2.68</v>
      </c>
      <c r="J191" s="2" t="s">
        <v>24</v>
      </c>
    </row>
    <row r="192" customFormat="false" ht="15" hidden="false" customHeight="false" outlineLevel="0" collapsed="false">
      <c r="A192" s="2" t="s">
        <v>223</v>
      </c>
      <c r="B192" s="2" t="s">
        <v>22</v>
      </c>
      <c r="C192" s="2" t="s">
        <v>33</v>
      </c>
      <c r="D192" s="3" t="n">
        <v>10992.78</v>
      </c>
      <c r="E192" s="2" t="n">
        <v>2856</v>
      </c>
      <c r="F192" s="2" t="n">
        <v>101</v>
      </c>
      <c r="G192" s="3" t="n">
        <v>34080.15</v>
      </c>
      <c r="H192" s="2" t="n">
        <v>1.69</v>
      </c>
      <c r="I192" s="2" t="n">
        <v>3.1</v>
      </c>
      <c r="J192" s="2" t="s">
        <v>20</v>
      </c>
    </row>
    <row r="193" customFormat="false" ht="15" hidden="false" customHeight="false" outlineLevel="0" collapsed="false">
      <c r="A193" s="2" t="s">
        <v>224</v>
      </c>
      <c r="B193" s="2" t="s">
        <v>11</v>
      </c>
      <c r="C193" s="2" t="s">
        <v>23</v>
      </c>
      <c r="D193" s="3" t="n">
        <v>11549.65</v>
      </c>
      <c r="E193" s="2" t="n">
        <v>2616</v>
      </c>
      <c r="F193" s="2" t="n">
        <v>2</v>
      </c>
      <c r="G193" s="3" t="n">
        <v>34641.62</v>
      </c>
      <c r="H193" s="2" t="n">
        <v>1.5</v>
      </c>
      <c r="I193" s="2" t="n">
        <v>3</v>
      </c>
      <c r="J193" s="2" t="s">
        <v>24</v>
      </c>
    </row>
    <row r="194" customFormat="false" ht="15" hidden="false" customHeight="false" outlineLevel="0" collapsed="false">
      <c r="A194" s="2" t="s">
        <v>225</v>
      </c>
      <c r="B194" s="2" t="s">
        <v>18</v>
      </c>
      <c r="C194" s="2" t="s">
        <v>23</v>
      </c>
      <c r="D194" s="3" t="n">
        <v>537.19</v>
      </c>
      <c r="E194" s="2" t="n">
        <v>2153</v>
      </c>
      <c r="F194" s="2" t="n">
        <v>83</v>
      </c>
      <c r="G194" s="3" t="n">
        <v>12435.26</v>
      </c>
      <c r="H194" s="2" t="n">
        <v>1.98</v>
      </c>
      <c r="I194" s="2" t="n">
        <v>23.15</v>
      </c>
      <c r="J194" s="2" t="s">
        <v>16</v>
      </c>
    </row>
    <row r="195" customFormat="false" ht="15" hidden="false" customHeight="false" outlineLevel="0" collapsed="false">
      <c r="A195" s="2" t="s">
        <v>226</v>
      </c>
      <c r="B195" s="2" t="s">
        <v>11</v>
      </c>
      <c r="C195" s="2" t="s">
        <v>15</v>
      </c>
      <c r="D195" s="3" t="n">
        <v>4084.66</v>
      </c>
      <c r="E195" s="2" t="n">
        <v>2239</v>
      </c>
      <c r="F195" s="2" t="n">
        <v>21</v>
      </c>
      <c r="G195" s="3" t="n">
        <v>11215.45</v>
      </c>
      <c r="H195" s="2" t="n">
        <v>1.18</v>
      </c>
      <c r="I195" s="2" t="n">
        <v>2.75</v>
      </c>
      <c r="J195" s="2" t="s">
        <v>24</v>
      </c>
    </row>
    <row r="196" customFormat="false" ht="15" hidden="false" customHeight="false" outlineLevel="0" collapsed="false">
      <c r="A196" s="2" t="s">
        <v>227</v>
      </c>
      <c r="B196" s="2" t="s">
        <v>18</v>
      </c>
      <c r="C196" s="2" t="s">
        <v>23</v>
      </c>
      <c r="D196" s="3" t="n">
        <v>11540.68</v>
      </c>
      <c r="E196" s="2" t="n">
        <v>125</v>
      </c>
      <c r="F196" s="2" t="n">
        <v>125</v>
      </c>
      <c r="G196" s="3" t="n">
        <v>0</v>
      </c>
      <c r="H196" s="2" t="n">
        <v>0.1</v>
      </c>
      <c r="I196" s="2" t="n">
        <v>0</v>
      </c>
      <c r="J196" s="2" t="s">
        <v>24</v>
      </c>
    </row>
    <row r="197" customFormat="false" ht="15" hidden="false" customHeight="false" outlineLevel="0" collapsed="false">
      <c r="A197" s="2" t="s">
        <v>228</v>
      </c>
      <c r="B197" s="2" t="s">
        <v>11</v>
      </c>
      <c r="C197" s="2" t="s">
        <v>12</v>
      </c>
      <c r="D197" s="3" t="n">
        <v>7275.07</v>
      </c>
      <c r="E197" s="2" t="n">
        <v>2333</v>
      </c>
      <c r="F197" s="2" t="n">
        <v>0</v>
      </c>
      <c r="G197" s="3" t="n">
        <v>7201.15</v>
      </c>
      <c r="H197" s="2" t="n">
        <v>4.86</v>
      </c>
      <c r="I197" s="2" t="n">
        <v>0.99</v>
      </c>
      <c r="J197" s="2" t="s">
        <v>31</v>
      </c>
    </row>
    <row r="198" customFormat="false" ht="15" hidden="false" customHeight="false" outlineLevel="0" collapsed="false">
      <c r="A198" s="2" t="s">
        <v>229</v>
      </c>
      <c r="B198" s="2" t="s">
        <v>11</v>
      </c>
      <c r="C198" s="2" t="s">
        <v>15</v>
      </c>
      <c r="D198" s="3" t="n">
        <v>1939.92</v>
      </c>
      <c r="E198" s="2" t="n">
        <v>230</v>
      </c>
      <c r="F198" s="2" t="n">
        <v>0</v>
      </c>
      <c r="G198" s="3" t="n">
        <v>0</v>
      </c>
      <c r="H198" s="2" t="n">
        <v>0.23</v>
      </c>
      <c r="I198" s="2" t="n">
        <v>0</v>
      </c>
      <c r="J198" s="2" t="s">
        <v>31</v>
      </c>
    </row>
    <row r="199" customFormat="false" ht="15" hidden="false" customHeight="false" outlineLevel="0" collapsed="false">
      <c r="A199" s="2" t="s">
        <v>230</v>
      </c>
      <c r="B199" s="2" t="s">
        <v>11</v>
      </c>
      <c r="C199" s="2" t="s">
        <v>15</v>
      </c>
      <c r="D199" s="3" t="n">
        <v>6129.04</v>
      </c>
      <c r="E199" s="2" t="n">
        <v>1429</v>
      </c>
      <c r="F199" s="2" t="n">
        <v>67</v>
      </c>
      <c r="G199" s="3" t="n">
        <v>19156.75</v>
      </c>
      <c r="H199" s="2" t="n">
        <v>1.06</v>
      </c>
      <c r="I199" s="2" t="n">
        <v>3.13</v>
      </c>
      <c r="J199" s="2" t="s">
        <v>62</v>
      </c>
    </row>
    <row r="200" customFormat="false" ht="15" hidden="false" customHeight="false" outlineLevel="0" collapsed="false">
      <c r="A200" s="2" t="s">
        <v>231</v>
      </c>
      <c r="B200" s="2" t="s">
        <v>18</v>
      </c>
      <c r="C200" s="2" t="s">
        <v>19</v>
      </c>
      <c r="D200" s="3" t="n">
        <v>10476.32</v>
      </c>
      <c r="E200" s="2" t="n">
        <v>1652</v>
      </c>
      <c r="F200" s="2" t="n">
        <v>12</v>
      </c>
      <c r="G200" s="3" t="n">
        <v>38227.12</v>
      </c>
      <c r="H200" s="2" t="n">
        <v>1.78</v>
      </c>
      <c r="I200" s="2" t="n">
        <v>3.65</v>
      </c>
      <c r="J200" s="2" t="s">
        <v>20</v>
      </c>
    </row>
    <row r="201" customFormat="false" ht="15" hidden="false" customHeight="false" outlineLevel="0" collapsed="false">
      <c r="A201" s="2" t="s">
        <v>232</v>
      </c>
      <c r="B201" s="2" t="s">
        <v>47</v>
      </c>
      <c r="C201" s="2" t="s">
        <v>15</v>
      </c>
      <c r="D201" s="3" t="n">
        <v>856.65</v>
      </c>
      <c r="E201" s="2" t="n">
        <v>255</v>
      </c>
      <c r="F201" s="2" t="n">
        <v>141</v>
      </c>
      <c r="G201" s="3" t="n">
        <v>21287.79</v>
      </c>
      <c r="H201" s="2" t="n">
        <v>0.14</v>
      </c>
      <c r="I201" s="2" t="n">
        <v>24.85</v>
      </c>
      <c r="J201" s="2" t="s">
        <v>20</v>
      </c>
    </row>
    <row r="202" customFormat="false" ht="15" hidden="false" customHeight="false" outlineLevel="0" collapsed="false">
      <c r="A202" s="2" t="s">
        <v>233</v>
      </c>
      <c r="B202" s="2" t="s">
        <v>30</v>
      </c>
      <c r="C202" s="2" t="s">
        <v>19</v>
      </c>
      <c r="D202" s="3" t="n">
        <v>11665.4</v>
      </c>
      <c r="E202" s="2" t="n">
        <v>1723</v>
      </c>
      <c r="F202" s="2" t="n">
        <v>84</v>
      </c>
      <c r="G202" s="3" t="n">
        <v>11195.05</v>
      </c>
      <c r="H202" s="2" t="n">
        <v>7.6</v>
      </c>
      <c r="I202" s="2" t="n">
        <v>0.96</v>
      </c>
      <c r="J202" s="2" t="s">
        <v>81</v>
      </c>
    </row>
    <row r="203" customFormat="false" ht="15" hidden="false" customHeight="false" outlineLevel="0" collapsed="false">
      <c r="A203" s="2" t="s">
        <v>234</v>
      </c>
      <c r="B203" s="2" t="s">
        <v>30</v>
      </c>
      <c r="C203" s="2" t="s">
        <v>19</v>
      </c>
      <c r="D203" s="3" t="n">
        <v>5778.43</v>
      </c>
      <c r="E203" s="2" t="n">
        <v>1711</v>
      </c>
      <c r="F203" s="2" t="n">
        <v>124</v>
      </c>
      <c r="G203" s="3" t="n">
        <v>6752.32</v>
      </c>
      <c r="H203" s="2" t="n">
        <v>29.04</v>
      </c>
      <c r="I203" s="2" t="n">
        <v>1.17</v>
      </c>
      <c r="J203" s="2" t="s">
        <v>20</v>
      </c>
    </row>
    <row r="204" customFormat="false" ht="15" hidden="false" customHeight="false" outlineLevel="0" collapsed="false">
      <c r="A204" s="2" t="s">
        <v>235</v>
      </c>
      <c r="B204" s="2" t="s">
        <v>18</v>
      </c>
      <c r="C204" s="2" t="s">
        <v>38</v>
      </c>
      <c r="D204" s="3" t="n">
        <v>6484.85</v>
      </c>
      <c r="E204" s="2" t="n">
        <v>577</v>
      </c>
      <c r="F204" s="2" t="n">
        <v>112</v>
      </c>
      <c r="G204" s="3" t="n">
        <v>5999.68</v>
      </c>
      <c r="H204" s="2" t="n">
        <v>2.34</v>
      </c>
      <c r="I204" s="2" t="n">
        <v>0.93</v>
      </c>
      <c r="J204" s="2" t="s">
        <v>31</v>
      </c>
    </row>
    <row r="205" customFormat="false" ht="15" hidden="false" customHeight="false" outlineLevel="0" collapsed="false">
      <c r="A205" s="2" t="s">
        <v>236</v>
      </c>
      <c r="B205" s="2" t="s">
        <v>22</v>
      </c>
      <c r="C205" s="2" t="s">
        <v>19</v>
      </c>
      <c r="D205" s="3" t="n">
        <v>11907.69</v>
      </c>
      <c r="E205" s="2" t="n">
        <v>2488</v>
      </c>
      <c r="F205" s="2" t="n">
        <v>145</v>
      </c>
      <c r="G205" s="3" t="n">
        <v>30705.75</v>
      </c>
      <c r="H205" s="2" t="n">
        <v>1.65</v>
      </c>
      <c r="I205" s="2" t="n">
        <v>2.58</v>
      </c>
      <c r="J205" s="2" t="s">
        <v>16</v>
      </c>
    </row>
    <row r="206" customFormat="false" ht="15" hidden="false" customHeight="false" outlineLevel="0" collapsed="false">
      <c r="A206" s="2" t="s">
        <v>237</v>
      </c>
      <c r="B206" s="2" t="s">
        <v>22</v>
      </c>
      <c r="C206" s="2" t="s">
        <v>33</v>
      </c>
      <c r="D206" s="3" t="n">
        <v>14621.49</v>
      </c>
      <c r="E206" s="2" t="n">
        <v>2380</v>
      </c>
      <c r="F206" s="2" t="n">
        <v>141</v>
      </c>
      <c r="G206" s="3" t="n">
        <v>32771.73</v>
      </c>
      <c r="H206" s="2" t="n">
        <v>1.25</v>
      </c>
      <c r="I206" s="2" t="n">
        <v>2.24</v>
      </c>
      <c r="J206" s="2" t="s">
        <v>26</v>
      </c>
    </row>
    <row r="207" customFormat="false" ht="15" hidden="false" customHeight="false" outlineLevel="0" collapsed="false">
      <c r="A207" s="2" t="s">
        <v>238</v>
      </c>
      <c r="B207" s="2" t="s">
        <v>11</v>
      </c>
      <c r="C207" s="2" t="s">
        <v>15</v>
      </c>
      <c r="D207" s="3" t="n">
        <v>7039.93</v>
      </c>
      <c r="E207" s="2" t="n">
        <v>1997</v>
      </c>
      <c r="F207" s="2" t="n">
        <v>77</v>
      </c>
      <c r="G207" s="3" t="n">
        <v>24192.81</v>
      </c>
      <c r="H207" s="2" t="n">
        <v>1.45</v>
      </c>
      <c r="I207" s="2" t="n">
        <v>3.44</v>
      </c>
      <c r="J207" s="2" t="s">
        <v>48</v>
      </c>
    </row>
    <row r="208" customFormat="false" ht="15" hidden="false" customHeight="false" outlineLevel="0" collapsed="false">
      <c r="A208" s="2" t="s">
        <v>239</v>
      </c>
      <c r="B208" s="2" t="s">
        <v>18</v>
      </c>
      <c r="C208" s="2" t="s">
        <v>12</v>
      </c>
      <c r="D208" s="3" t="n">
        <v>5798.98</v>
      </c>
      <c r="E208" s="2" t="n">
        <v>2009</v>
      </c>
      <c r="F208" s="2" t="n">
        <v>71</v>
      </c>
      <c r="G208" s="3" t="n">
        <v>568.63</v>
      </c>
      <c r="H208" s="2" t="n">
        <v>31.37</v>
      </c>
      <c r="I208" s="2" t="n">
        <v>0.1</v>
      </c>
      <c r="J208" s="2" t="s">
        <v>48</v>
      </c>
    </row>
    <row r="209" customFormat="false" ht="15" hidden="false" customHeight="false" outlineLevel="0" collapsed="false">
      <c r="A209" s="2" t="s">
        <v>240</v>
      </c>
      <c r="B209" s="2" t="s">
        <v>30</v>
      </c>
      <c r="C209" s="2" t="s">
        <v>19</v>
      </c>
      <c r="D209" s="3" t="n">
        <v>3601.12</v>
      </c>
      <c r="E209" s="2" t="n">
        <v>2605</v>
      </c>
      <c r="F209" s="2" t="n">
        <v>123</v>
      </c>
      <c r="G209" s="3" t="n">
        <v>3623.17</v>
      </c>
      <c r="H209" s="2" t="n">
        <v>58.72</v>
      </c>
      <c r="I209" s="2" t="n">
        <v>1.01</v>
      </c>
      <c r="J209" s="2" t="s">
        <v>48</v>
      </c>
    </row>
    <row r="210" customFormat="false" ht="15" hidden="false" customHeight="false" outlineLevel="0" collapsed="false">
      <c r="A210" s="2" t="s">
        <v>241</v>
      </c>
      <c r="B210" s="2" t="s">
        <v>22</v>
      </c>
      <c r="C210" s="2" t="s">
        <v>23</v>
      </c>
      <c r="D210" s="3" t="n">
        <v>11104.51</v>
      </c>
      <c r="E210" s="2" t="n">
        <v>2168</v>
      </c>
      <c r="F210" s="2" t="n">
        <v>102</v>
      </c>
      <c r="G210" s="3" t="n">
        <v>36363.07</v>
      </c>
      <c r="H210" s="2" t="n">
        <v>1.92</v>
      </c>
      <c r="I210" s="2" t="n">
        <v>3.27</v>
      </c>
      <c r="J210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9" min="8" style="0" width="14"/>
  </cols>
  <sheetData>
    <row r="2" customFormat="false" ht="17.35" hidden="false" customHeight="false" outlineLevel="0" collapsed="false">
      <c r="B2" s="4" t="s">
        <v>242</v>
      </c>
    </row>
    <row r="6" customFormat="false" ht="15" hidden="false" customHeight="false" outlineLevel="0" collapsed="false">
      <c r="B6" s="5" t="s">
        <v>243</v>
      </c>
      <c r="D6" s="5" t="s">
        <v>244</v>
      </c>
      <c r="F6" s="5" t="s">
        <v>245</v>
      </c>
      <c r="H6" s="5" t="s">
        <v>246</v>
      </c>
    </row>
    <row r="7" customFormat="false" ht="19.7" hidden="false" customHeight="false" outlineLevel="0" collapsed="false">
      <c r="B7" s="6" t="n">
        <f aca="false">SUM(Raw_Data!$D$2:$D$210)</f>
        <v>1676889.96</v>
      </c>
      <c r="D7" s="6" t="n">
        <f aca="false">SUM(Raw_Data!$G$2:$G$210)</f>
        <v>3580134.82</v>
      </c>
      <c r="F7" s="7" t="n">
        <f aca="false">D7/B7</f>
        <v>2.13498494558343</v>
      </c>
      <c r="H7" s="8" t="n">
        <f aca="false">AVERAGE(Raw_Data!$H$2:$H$210)</f>
        <v>3.87536458333333</v>
      </c>
    </row>
    <row r="10" customFormat="false" ht="15" hidden="false" customHeight="false" outlineLevel="0" collapsed="false">
      <c r="B10" s="5" t="s">
        <v>247</v>
      </c>
      <c r="G10" s="5" t="s">
        <v>248</v>
      </c>
    </row>
    <row r="11" customFormat="false" ht="15" hidden="false" customHeight="false" outlineLevel="0" collapsed="false">
      <c r="B11" s="1" t="s">
        <v>249</v>
      </c>
      <c r="C11" s="1" t="s">
        <v>250</v>
      </c>
      <c r="D11" s="1" t="s">
        <v>251</v>
      </c>
      <c r="E11" s="1" t="s">
        <v>8</v>
      </c>
      <c r="G11" s="1" t="s">
        <v>252</v>
      </c>
      <c r="H11" s="1" t="s">
        <v>250</v>
      </c>
      <c r="I11" s="1" t="s">
        <v>251</v>
      </c>
    </row>
    <row r="12" customFormat="false" ht="15" hidden="false" customHeight="false" outlineLevel="0" collapsed="false">
      <c r="B12" s="0" t="s">
        <v>18</v>
      </c>
      <c r="C12" s="9" t="n">
        <f aca="false">SUMIF(Raw_Data!$B$2:$B$210,B12,Raw_Data!$D$2:$D$210)</f>
        <v>336100.39</v>
      </c>
      <c r="D12" s="9" t="n">
        <f aca="false">SUMIF(Raw_Data!$B$2:$B$210,B12,Raw_Data!$G$2:$G$210)</f>
        <v>781775.22</v>
      </c>
      <c r="E12" s="10" t="n">
        <f aca="false">IFERROR(D12/C12,0)</f>
        <v>2.32601699748102</v>
      </c>
      <c r="G12" s="11" t="s">
        <v>20</v>
      </c>
      <c r="H12" s="9" t="n">
        <f aca="false">SUMIF(Raw_Data!$J$2:$J$210,G12,Raw_Data!$D$2:$D$210)</f>
        <v>256866.67</v>
      </c>
      <c r="I12" s="9" t="n">
        <f aca="false">SUMIF(Raw_Data!$J$2:$J$210,G12,Raw_Data!$G$2:$G$210)</f>
        <v>465595.95</v>
      </c>
    </row>
    <row r="13" customFormat="false" ht="15" hidden="false" customHeight="false" outlineLevel="0" collapsed="false">
      <c r="B13" s="0" t="s">
        <v>11</v>
      </c>
      <c r="C13" s="9" t="n">
        <f aca="false">SUMIF(Raw_Data!$B$2:$B$210,B13,Raw_Data!$D$2:$D$210)</f>
        <v>347472.76</v>
      </c>
      <c r="D13" s="9" t="n">
        <f aca="false">SUMIF(Raw_Data!$B$2:$B$210,B13,Raw_Data!$G$2:$G$210)</f>
        <v>848930.37</v>
      </c>
      <c r="E13" s="10" t="n">
        <f aca="false">IFERROR(D13/C13,0)</f>
        <v>2.44315660888065</v>
      </c>
      <c r="G13" s="11" t="s">
        <v>31</v>
      </c>
      <c r="H13" s="9" t="n">
        <f aca="false">SUMIF(Raw_Data!$J$2:$J$210,G13,Raw_Data!$D$2:$D$210)</f>
        <v>171019.39</v>
      </c>
      <c r="I13" s="9" t="n">
        <f aca="false">SUMIF(Raw_Data!$J$2:$J$210,G13,Raw_Data!$G$2:$G$210)</f>
        <v>470105.93</v>
      </c>
    </row>
    <row r="14" customFormat="false" ht="15" hidden="false" customHeight="false" outlineLevel="0" collapsed="false">
      <c r="B14" s="0" t="s">
        <v>30</v>
      </c>
      <c r="C14" s="9" t="n">
        <f aca="false">SUMIF(Raw_Data!$B$2:$B$210,B14,Raw_Data!$D$2:$D$210)</f>
        <v>389163.38</v>
      </c>
      <c r="D14" s="9" t="n">
        <f aca="false">SUMIF(Raw_Data!$B$2:$B$210,B14,Raw_Data!$G$2:$G$210)</f>
        <v>956528.16</v>
      </c>
      <c r="E14" s="10" t="n">
        <f aca="false">IFERROR(D14/C14,0)</f>
        <v>2.45790896358234</v>
      </c>
      <c r="G14" s="11" t="s">
        <v>48</v>
      </c>
      <c r="H14" s="9" t="n">
        <f aca="false">SUMIF(Raw_Data!$J$2:$J$210,G14,Raw_Data!$D$2:$D$210)</f>
        <v>145543.19</v>
      </c>
      <c r="I14" s="9" t="n">
        <f aca="false">SUMIF(Raw_Data!$J$2:$J$210,G14,Raw_Data!$G$2:$G$210)</f>
        <v>293772.28</v>
      </c>
    </row>
    <row r="15" customFormat="false" ht="15" hidden="false" customHeight="false" outlineLevel="0" collapsed="false">
      <c r="B15" s="0" t="s">
        <v>22</v>
      </c>
      <c r="C15" s="9" t="n">
        <f aca="false">SUMIF(Raw_Data!$B$2:$B$210,B15,Raw_Data!$D$2:$D$210)</f>
        <v>475593.73</v>
      </c>
      <c r="D15" s="9" t="n">
        <f aca="false">SUMIF(Raw_Data!$B$2:$B$210,B15,Raw_Data!$G$2:$G$210)</f>
        <v>815492.34</v>
      </c>
      <c r="E15" s="10" t="n">
        <f aca="false">IFERROR(D15/C15,0)</f>
        <v>1.71468269777232</v>
      </c>
      <c r="G15" s="11" t="s">
        <v>62</v>
      </c>
      <c r="H15" s="9" t="n">
        <f aca="false">SUMIF(Raw_Data!$J$2:$J$210,G15,Raw_Data!$D$2:$D$210)</f>
        <v>134435.16</v>
      </c>
      <c r="I15" s="9" t="n">
        <f aca="false">SUMIF(Raw_Data!$J$2:$J$210,G15,Raw_Data!$G$2:$G$210)</f>
        <v>308222.17</v>
      </c>
    </row>
    <row r="16" customFormat="false" ht="15" hidden="false" customHeight="false" outlineLevel="0" collapsed="false">
      <c r="B16" s="0" t="s">
        <v>47</v>
      </c>
      <c r="C16" s="9" t="n">
        <f aca="false">SUMIF(Raw_Data!$B$2:$B$210,B16,Raw_Data!$D$2:$D$210)</f>
        <v>128559.7</v>
      </c>
      <c r="D16" s="9" t="n">
        <f aca="false">SUMIF(Raw_Data!$B$2:$B$210,B16,Raw_Data!$G$2:$G$210)</f>
        <v>177408.73</v>
      </c>
      <c r="E16" s="10" t="n">
        <f aca="false">IFERROR(D16/C16,0)</f>
        <v>1.37997156185025</v>
      </c>
      <c r="G16" s="11" t="s">
        <v>13</v>
      </c>
      <c r="H16" s="9" t="n">
        <f aca="false">SUMIF(Raw_Data!$J$2:$J$210,G16,Raw_Data!$D$2:$D$210)</f>
        <v>200653.59</v>
      </c>
      <c r="I16" s="9" t="n">
        <f aca="false">SUMIF(Raw_Data!$J$2:$J$210,G16,Raw_Data!$G$2:$G$210)</f>
        <v>365640.5</v>
      </c>
    </row>
    <row r="17" customFormat="false" ht="15" hidden="false" customHeight="false" outlineLevel="0" collapsed="false">
      <c r="G17" s="0" t="s">
        <v>26</v>
      </c>
      <c r="H17" s="9" t="n">
        <f aca="false">SUMIF(Raw_Data!$J$2:$J$210,G17,Raw_Data!$D$2:$D$210)</f>
        <v>203588.09</v>
      </c>
      <c r="I17" s="9" t="n">
        <f aca="false">SUMIF(Raw_Data!$J$2:$J$210,G17,Raw_Data!$G$2:$G$210)</f>
        <v>502077.29</v>
      </c>
    </row>
    <row r="18" customFormat="false" ht="15" hidden="false" customHeight="false" outlineLevel="0" collapsed="false">
      <c r="G18" s="0" t="s">
        <v>16</v>
      </c>
      <c r="H18" s="9" t="n">
        <f aca="false">SUMIF(Raw_Data!$J$2:$J$210,G18,Raw_Data!$D$2:$D$210)</f>
        <v>254316.38</v>
      </c>
      <c r="I18" s="9" t="n">
        <f aca="false">SUMIF(Raw_Data!$J$2:$J$210,G18,Raw_Data!$G$2:$G$210)</f>
        <v>493769.7</v>
      </c>
    </row>
    <row r="19" customFormat="false" ht="15" hidden="false" customHeight="false" outlineLevel="0" collapsed="false">
      <c r="G19" s="0" t="s">
        <v>24</v>
      </c>
      <c r="H19" s="9" t="n">
        <f aca="false">SUMIF(Raw_Data!$J$2:$J$210,G19,Raw_Data!$D$2:$D$210)</f>
        <v>217678.85</v>
      </c>
      <c r="I19" s="9" t="n">
        <f aca="false">SUMIF(Raw_Data!$J$2:$J$210,G19,Raw_Data!$G$2:$G$210)</f>
        <v>520103.89</v>
      </c>
    </row>
    <row r="20" customFormat="false" ht="15" hidden="false" customHeight="false" outlineLevel="0" collapsed="false">
      <c r="G20" s="0" t="s">
        <v>79</v>
      </c>
      <c r="H20" s="9" t="n">
        <f aca="false">SUMIF(Raw_Data!$J$2:$J$210,G20,Raw_Data!$D$2:$D$210)</f>
        <v>40798.71</v>
      </c>
      <c r="I20" s="9" t="n">
        <f aca="false">SUMIF(Raw_Data!$J$2:$J$210,G20,Raw_Data!$G$2:$G$210)</f>
        <v>91439.67</v>
      </c>
    </row>
    <row r="21" customFormat="false" ht="15" hidden="false" customHeight="false" outlineLevel="0" collapsed="false">
      <c r="G21" s="0" t="s">
        <v>172</v>
      </c>
      <c r="H21" s="9" t="n">
        <f aca="false">SUMIF(Raw_Data!$J$2:$J$210,G21,Raw_Data!$D$2:$D$210)</f>
        <v>9150.78</v>
      </c>
      <c r="I21" s="9" t="n">
        <f aca="false">SUMIF(Raw_Data!$J$2:$J$210,G21,Raw_Data!$G$2:$G$210)</f>
        <v>573.9</v>
      </c>
    </row>
    <row r="22" customFormat="false" ht="15" hidden="false" customHeight="false" outlineLevel="0" collapsed="false">
      <c r="G22" s="0" t="s">
        <v>81</v>
      </c>
      <c r="H22" s="9" t="n">
        <f aca="false">SUMIF(Raw_Data!$J$2:$J$210,G22,Raw_Data!$D$2:$D$210)</f>
        <v>32650.53</v>
      </c>
      <c r="I22" s="9" t="n">
        <f aca="false">SUMIF(Raw_Data!$J$2:$J$210,G22,Raw_Data!$G$2:$G$210)</f>
        <v>67347.63</v>
      </c>
    </row>
    <row r="23" customFormat="false" ht="15" hidden="false" customHeight="false" outlineLevel="0" collapsed="false">
      <c r="G23" s="0" t="s">
        <v>40</v>
      </c>
      <c r="H23" s="9" t="n">
        <f aca="false">SUMIF(Raw_Data!$J$2:$J$210,G23,Raw_Data!$D$2:$D$210)</f>
        <v>10188.62</v>
      </c>
      <c r="I23" s="9" t="n">
        <f aca="false">SUMIF(Raw_Data!$J$2:$J$210,G23,Raw_Data!$G$2:$G$210)</f>
        <v>1485.91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2026-09-10T06:09:21Z</dcterms:created>
  <dc:creator>openpyxl</dc:creator>
  <dc:description/>
  <dc:language>en-US</dc:language>
  <cp:lastModifiedBy/>
  <dcterms:modified xsi:type="dcterms:W3CDTF">2026-09-10T06:09:26Z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